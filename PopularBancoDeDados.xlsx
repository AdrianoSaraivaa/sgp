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X:\NOVA-ESTRUTURA\PNEUMARK\DIRETORIA\SARAIVA\SGP\"/>
    </mc:Choice>
  </mc:AlternateContent>
  <bookViews>
    <workbookView xWindow="0" yWindow="0" windowWidth="20460" windowHeight="8880"/>
  </bookViews>
  <sheets>
    <sheet name="LISTA" sheetId="5" r:id="rId1"/>
  </sheets>
  <definedNames>
    <definedName name="_xlnm._FilterDatabase" localSheetId="0" hidden="1">LISTA!$A$1:$Q$59</definedName>
  </definedNames>
  <calcPr calcId="162913"/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2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N164" i="5" l="1"/>
  <c r="P164" i="5" s="1"/>
  <c r="N163" i="5"/>
  <c r="O163" i="5" s="1"/>
  <c r="N162" i="5"/>
  <c r="N161" i="5"/>
  <c r="P161" i="5" s="1"/>
  <c r="N160" i="5"/>
  <c r="P160" i="5" s="1"/>
  <c r="N159" i="5"/>
  <c r="O159" i="5" s="1"/>
  <c r="N158" i="5"/>
  <c r="N157" i="5"/>
  <c r="N156" i="5"/>
  <c r="P156" i="5" s="1"/>
  <c r="N155" i="5"/>
  <c r="N154" i="5"/>
  <c r="O154" i="5" s="1"/>
  <c r="N153" i="5"/>
  <c r="N152" i="5"/>
  <c r="N151" i="5"/>
  <c r="P151" i="5" s="1"/>
  <c r="N150" i="5"/>
  <c r="O150" i="5" s="1"/>
  <c r="N149" i="5"/>
  <c r="N148" i="5"/>
  <c r="N147" i="5"/>
  <c r="N146" i="5"/>
  <c r="O146" i="5" s="1"/>
  <c r="N145" i="5"/>
  <c r="N144" i="5"/>
  <c r="P144" i="5" s="1"/>
  <c r="N143" i="5"/>
  <c r="O143" i="5" s="1"/>
  <c r="N142" i="5"/>
  <c r="N141" i="5"/>
  <c r="O141" i="5" s="1"/>
  <c r="P140" i="5"/>
  <c r="O140" i="5"/>
  <c r="N139" i="5"/>
  <c r="N138" i="5"/>
  <c r="N137" i="5"/>
  <c r="P137" i="5" s="1"/>
  <c r="N136" i="5"/>
  <c r="N135" i="5"/>
  <c r="O135" i="5" s="1"/>
  <c r="N134" i="5"/>
  <c r="N133" i="5"/>
  <c r="N132" i="5"/>
  <c r="N131" i="5"/>
  <c r="O131" i="5" s="1"/>
  <c r="N130" i="5"/>
  <c r="N129" i="5"/>
  <c r="N128" i="5"/>
  <c r="P128" i="5" s="1"/>
  <c r="N127" i="5"/>
  <c r="O127" i="5" s="1"/>
  <c r="N126" i="5"/>
  <c r="N125" i="5"/>
  <c r="P125" i="5" s="1"/>
  <c r="N124" i="5"/>
  <c r="N123" i="5"/>
  <c r="N122" i="5"/>
  <c r="N121" i="5"/>
  <c r="P121" i="5" s="1"/>
  <c r="N120" i="5"/>
  <c r="N119" i="5"/>
  <c r="O119" i="5" s="1"/>
  <c r="N118" i="5"/>
  <c r="N117" i="5"/>
  <c r="N116" i="5"/>
  <c r="P116" i="5" s="1"/>
  <c r="N115" i="5"/>
  <c r="O115" i="5" s="1"/>
  <c r="N114" i="5"/>
  <c r="N113" i="5"/>
  <c r="N112" i="5"/>
  <c r="P112" i="5" s="1"/>
  <c r="N111" i="5"/>
  <c r="O111" i="5" s="1"/>
  <c r="N109" i="5"/>
  <c r="P109" i="5" s="1"/>
  <c r="N108" i="5"/>
  <c r="N107" i="5"/>
  <c r="O107" i="5" s="1"/>
  <c r="N106" i="5"/>
  <c r="N105" i="5"/>
  <c r="N104" i="5"/>
  <c r="P104" i="5" s="1"/>
  <c r="N103" i="5"/>
  <c r="O103" i="5" s="1"/>
  <c r="N102" i="5"/>
  <c r="N101" i="5"/>
  <c r="O101" i="5" s="1"/>
  <c r="N100" i="5"/>
  <c r="N99" i="5"/>
  <c r="O99" i="5" s="1"/>
  <c r="N98" i="5"/>
  <c r="N97" i="5"/>
  <c r="O97" i="5" s="1"/>
  <c r="N96" i="5"/>
  <c r="N95" i="5"/>
  <c r="O95" i="5" s="1"/>
  <c r="N94" i="5"/>
  <c r="N93" i="5"/>
  <c r="O93" i="5" s="1"/>
  <c r="N92" i="5"/>
  <c r="N91" i="5"/>
  <c r="O91" i="5" s="1"/>
  <c r="N90" i="5"/>
  <c r="N89" i="5"/>
  <c r="O89" i="5" s="1"/>
  <c r="N88" i="5"/>
  <c r="N87" i="5"/>
  <c r="O87" i="5" s="1"/>
  <c r="N86" i="5"/>
  <c r="N85" i="5"/>
  <c r="O85" i="5" s="1"/>
  <c r="N84" i="5"/>
  <c r="N83" i="5"/>
  <c r="N82" i="5"/>
  <c r="N81" i="5"/>
  <c r="N80" i="5"/>
  <c r="O80" i="5" s="1"/>
  <c r="N79" i="5"/>
  <c r="P79" i="5" s="1"/>
  <c r="N78" i="5"/>
  <c r="O78" i="5" s="1"/>
  <c r="N77" i="5"/>
  <c r="P77" i="5" s="1"/>
  <c r="N76" i="5"/>
  <c r="O76" i="5" s="1"/>
  <c r="N75" i="5"/>
  <c r="P75" i="5" s="1"/>
  <c r="N74" i="5"/>
  <c r="O74" i="5" s="1"/>
  <c r="N73" i="5"/>
  <c r="P73" i="5" s="1"/>
  <c r="N72" i="5"/>
  <c r="O72" i="5" s="1"/>
  <c r="N71" i="5"/>
  <c r="O71" i="5" s="1"/>
  <c r="N70" i="5"/>
  <c r="O70" i="5" s="1"/>
  <c r="N69" i="5"/>
  <c r="O69" i="5" s="1"/>
  <c r="N68" i="5"/>
  <c r="P68" i="5" s="1"/>
  <c r="N67" i="5"/>
  <c r="O67" i="5" s="1"/>
  <c r="N66" i="5"/>
  <c r="N65" i="5"/>
  <c r="O65" i="5" s="1"/>
  <c r="N64" i="5"/>
  <c r="N63" i="5"/>
  <c r="P63" i="5" s="1"/>
  <c r="N62" i="5"/>
  <c r="N61" i="5"/>
  <c r="N60" i="5"/>
  <c r="N59" i="5"/>
  <c r="N58" i="5"/>
  <c r="N56" i="5"/>
  <c r="P56" i="5" s="1"/>
  <c r="N55" i="5"/>
  <c r="P55" i="5" s="1"/>
  <c r="N54" i="5"/>
  <c r="P54" i="5" s="1"/>
  <c r="N53" i="5"/>
  <c r="N52" i="5"/>
  <c r="O52" i="5" s="1"/>
  <c r="N51" i="5"/>
  <c r="P50" i="5"/>
  <c r="N50" i="5"/>
  <c r="O50" i="5" s="1"/>
  <c r="N49" i="5"/>
  <c r="P49" i="5" s="1"/>
  <c r="N48" i="5"/>
  <c r="P48" i="5" s="1"/>
  <c r="N47" i="5"/>
  <c r="N46" i="5"/>
  <c r="O46" i="5" s="1"/>
  <c r="N45" i="5"/>
  <c r="P45" i="5" s="1"/>
  <c r="N44" i="5"/>
  <c r="P44" i="5" s="1"/>
  <c r="N43" i="5"/>
  <c r="N42" i="5"/>
  <c r="O42" i="5" s="1"/>
  <c r="N41" i="5"/>
  <c r="P41" i="5" s="1"/>
  <c r="N40" i="5"/>
  <c r="P40" i="5" s="1"/>
  <c r="N39" i="5"/>
  <c r="P39" i="5" s="1"/>
  <c r="N38" i="5"/>
  <c r="N37" i="5"/>
  <c r="P37" i="5" s="1"/>
  <c r="N36" i="5"/>
  <c r="P36" i="5" s="1"/>
  <c r="N35" i="5"/>
  <c r="N34" i="5"/>
  <c r="N33" i="5"/>
  <c r="P33" i="5" s="1"/>
  <c r="N32" i="5"/>
  <c r="P32" i="5" s="1"/>
  <c r="N31" i="5"/>
  <c r="N30" i="5"/>
  <c r="N29" i="5"/>
  <c r="P29" i="5" s="1"/>
  <c r="N28" i="5"/>
  <c r="P28" i="5" s="1"/>
  <c r="N27" i="5"/>
  <c r="N26" i="5"/>
  <c r="N25" i="5"/>
  <c r="O25" i="5" s="1"/>
  <c r="N24" i="5"/>
  <c r="P24" i="5" s="1"/>
  <c r="N23" i="5"/>
  <c r="P23" i="5" s="1"/>
  <c r="N22" i="5"/>
  <c r="N21" i="5"/>
  <c r="P21" i="5" s="1"/>
  <c r="N20" i="5"/>
  <c r="O20" i="5" s="1"/>
  <c r="N19" i="5"/>
  <c r="P19" i="5" s="1"/>
  <c r="N18" i="5"/>
  <c r="N17" i="5"/>
  <c r="P17" i="5" s="1"/>
  <c r="N16" i="5"/>
  <c r="N15" i="5"/>
  <c r="P15" i="5" s="1"/>
  <c r="N14" i="5"/>
  <c r="P14" i="5" s="1"/>
  <c r="N13" i="5"/>
  <c r="P13" i="5" s="1"/>
  <c r="N12" i="5"/>
  <c r="N11" i="5"/>
  <c r="P11" i="5" s="1"/>
  <c r="N10" i="5"/>
  <c r="N9" i="5"/>
  <c r="P9" i="5" s="1"/>
  <c r="N8" i="5"/>
  <c r="N7" i="5"/>
  <c r="P7" i="5" s="1"/>
  <c r="N6" i="5"/>
  <c r="N5" i="5"/>
  <c r="P5" i="5" s="1"/>
  <c r="N4" i="5"/>
  <c r="O4" i="5" s="1"/>
  <c r="N3" i="5"/>
  <c r="O3" i="5" s="1"/>
  <c r="N2" i="5"/>
  <c r="O16" i="5" l="1"/>
  <c r="P16" i="5"/>
  <c r="P46" i="5"/>
  <c r="O33" i="5"/>
  <c r="O37" i="5"/>
  <c r="O54" i="5"/>
  <c r="O56" i="5"/>
  <c r="P146" i="5"/>
  <c r="P52" i="5"/>
  <c r="P143" i="5"/>
  <c r="O10" i="5"/>
  <c r="P10" i="5"/>
  <c r="P120" i="5"/>
  <c r="O120" i="5"/>
  <c r="P124" i="5"/>
  <c r="O124" i="5"/>
  <c r="P117" i="5"/>
  <c r="O117" i="5"/>
  <c r="P147" i="5"/>
  <c r="O147" i="5"/>
  <c r="O160" i="5"/>
  <c r="O12" i="5"/>
  <c r="P12" i="5"/>
  <c r="O2" i="5"/>
  <c r="P2" i="5"/>
  <c r="O108" i="5"/>
  <c r="P108" i="5"/>
  <c r="O132" i="5"/>
  <c r="P132" i="5"/>
  <c r="O136" i="5"/>
  <c r="P136" i="5"/>
  <c r="O18" i="5"/>
  <c r="P18" i="5"/>
  <c r="P152" i="5"/>
  <c r="O152" i="5"/>
  <c r="P27" i="5"/>
  <c r="O27" i="5"/>
  <c r="O155" i="5"/>
  <c r="P155" i="5"/>
  <c r="P6" i="5"/>
  <c r="O6" i="5"/>
  <c r="O8" i="5"/>
  <c r="P8" i="5"/>
  <c r="P31" i="5"/>
  <c r="O31" i="5"/>
  <c r="P35" i="5"/>
  <c r="O35" i="5"/>
  <c r="P133" i="5"/>
  <c r="O133" i="5"/>
  <c r="P142" i="5"/>
  <c r="O142" i="5"/>
  <c r="P25" i="5"/>
  <c r="P141" i="5"/>
  <c r="O14" i="5"/>
  <c r="P20" i="5"/>
  <c r="O23" i="5"/>
  <c r="O29" i="5"/>
  <c r="O39" i="5"/>
  <c r="P99" i="5"/>
  <c r="O109" i="5"/>
  <c r="P111" i="5"/>
  <c r="O112" i="5"/>
  <c r="P127" i="5"/>
  <c r="O128" i="5"/>
  <c r="O151" i="5"/>
  <c r="O161" i="5"/>
  <c r="O164" i="5"/>
  <c r="P4" i="5"/>
  <c r="P42" i="5"/>
  <c r="P97" i="5"/>
  <c r="O116" i="5"/>
  <c r="P66" i="5"/>
  <c r="O66" i="5"/>
  <c r="O63" i="5"/>
  <c r="P91" i="5"/>
  <c r="P89" i="5"/>
  <c r="O68" i="5"/>
  <c r="O81" i="5"/>
  <c r="P81" i="5"/>
  <c r="P83" i="5"/>
  <c r="O83" i="5"/>
  <c r="P87" i="5"/>
  <c r="P95" i="5"/>
  <c r="P103" i="5"/>
  <c r="O104" i="5"/>
  <c r="P93" i="5"/>
  <c r="P101" i="5"/>
  <c r="O30" i="5"/>
  <c r="P30" i="5"/>
  <c r="O26" i="5"/>
  <c r="P26" i="5"/>
  <c r="O22" i="5"/>
  <c r="P22" i="5"/>
  <c r="O38" i="5"/>
  <c r="P38" i="5"/>
  <c r="O34" i="5"/>
  <c r="P34" i="5"/>
  <c r="P47" i="5"/>
  <c r="O47" i="5"/>
  <c r="P98" i="5"/>
  <c r="O98" i="5"/>
  <c r="P43" i="5"/>
  <c r="O43" i="5"/>
  <c r="O53" i="5"/>
  <c r="P53" i="5"/>
  <c r="P58" i="5"/>
  <c r="O58" i="5"/>
  <c r="P106" i="5"/>
  <c r="O106" i="5"/>
  <c r="O139" i="5"/>
  <c r="P139" i="5"/>
  <c r="P149" i="5"/>
  <c r="O149" i="5"/>
  <c r="P162" i="5"/>
  <c r="O162" i="5"/>
  <c r="O7" i="5"/>
  <c r="O11" i="5"/>
  <c r="O15" i="5"/>
  <c r="O19" i="5"/>
  <c r="O21" i="5"/>
  <c r="O123" i="5"/>
  <c r="P123" i="5"/>
  <c r="P130" i="5"/>
  <c r="O130" i="5"/>
  <c r="P148" i="5"/>
  <c r="O148" i="5"/>
  <c r="P153" i="5"/>
  <c r="O153" i="5"/>
  <c r="P157" i="5"/>
  <c r="O157" i="5"/>
  <c r="P3" i="5"/>
  <c r="O24" i="5"/>
  <c r="O28" i="5"/>
  <c r="O32" i="5"/>
  <c r="O36" i="5"/>
  <c r="O41" i="5"/>
  <c r="O45" i="5"/>
  <c r="O49" i="5"/>
  <c r="P60" i="5"/>
  <c r="O60" i="5"/>
  <c r="P82" i="5"/>
  <c r="O82" i="5"/>
  <c r="P86" i="5"/>
  <c r="O86" i="5"/>
  <c r="P94" i="5"/>
  <c r="O94" i="5"/>
  <c r="P102" i="5"/>
  <c r="O102" i="5"/>
  <c r="P114" i="5"/>
  <c r="O114" i="5"/>
  <c r="P129" i="5"/>
  <c r="O129" i="5"/>
  <c r="P134" i="5"/>
  <c r="O134" i="5"/>
  <c r="P138" i="5"/>
  <c r="O138" i="5"/>
  <c r="P145" i="5"/>
  <c r="O145" i="5"/>
  <c r="P90" i="5"/>
  <c r="O90" i="5"/>
  <c r="O5" i="5"/>
  <c r="O9" i="5"/>
  <c r="O13" i="5"/>
  <c r="O17" i="5"/>
  <c r="O40" i="5"/>
  <c r="O44" i="5"/>
  <c r="O48" i="5"/>
  <c r="P59" i="5"/>
  <c r="O59" i="5"/>
  <c r="P61" i="5"/>
  <c r="O61" i="5"/>
  <c r="P84" i="5"/>
  <c r="O84" i="5"/>
  <c r="P88" i="5"/>
  <c r="O88" i="5"/>
  <c r="P96" i="5"/>
  <c r="O96" i="5"/>
  <c r="P105" i="5"/>
  <c r="O105" i="5"/>
  <c r="P51" i="5"/>
  <c r="O51" i="5"/>
  <c r="P62" i="5"/>
  <c r="O62" i="5"/>
  <c r="P64" i="5"/>
  <c r="O64" i="5"/>
  <c r="P92" i="5"/>
  <c r="O92" i="5"/>
  <c r="P100" i="5"/>
  <c r="O100" i="5"/>
  <c r="P113" i="5"/>
  <c r="O113" i="5"/>
  <c r="P118" i="5"/>
  <c r="O118" i="5"/>
  <c r="P122" i="5"/>
  <c r="O122" i="5"/>
  <c r="P126" i="5"/>
  <c r="O126" i="5"/>
  <c r="P158" i="5"/>
  <c r="O158" i="5"/>
  <c r="O55" i="5"/>
  <c r="P72" i="5"/>
  <c r="P74" i="5"/>
  <c r="P76" i="5"/>
  <c r="P78" i="5"/>
  <c r="P119" i="5"/>
  <c r="O125" i="5"/>
  <c r="P135" i="5"/>
  <c r="O144" i="5"/>
  <c r="P154" i="5"/>
  <c r="P163" i="5"/>
  <c r="P67" i="5"/>
  <c r="P69" i="5"/>
  <c r="O73" i="5"/>
  <c r="O75" i="5"/>
  <c r="O77" i="5"/>
  <c r="O79" i="5"/>
  <c r="P107" i="5"/>
  <c r="P115" i="5"/>
  <c r="O121" i="5"/>
  <c r="P131" i="5"/>
  <c r="O137" i="5"/>
  <c r="P150" i="5"/>
  <c r="O156" i="5"/>
  <c r="P159" i="5"/>
</calcChain>
</file>

<file path=xl/comments1.xml><?xml version="1.0" encoding="utf-8"?>
<comments xmlns="http://schemas.openxmlformats.org/spreadsheetml/2006/main">
  <authors>
    <author>ADMINISTRATIVO</author>
  </authors>
  <commentList>
    <comment ref="B20" authorId="0" shapeId="0">
      <text>
        <r>
          <rPr>
            <b/>
            <sz val="9"/>
            <color indexed="81"/>
            <rFont val="Segoe UI"/>
            <family val="2"/>
          </rPr>
          <t>ADMINISTRATIVO:</t>
        </r>
        <r>
          <rPr>
            <sz val="9"/>
            <color indexed="81"/>
            <rFont val="Segoe UI"/>
            <family val="2"/>
          </rPr>
          <t xml:space="preserve">
NÃO LEVA BANHO</t>
        </r>
      </text>
    </comment>
    <comment ref="B21" authorId="0" shapeId="0">
      <text>
        <r>
          <rPr>
            <b/>
            <sz val="9"/>
            <color indexed="81"/>
            <rFont val="Segoe UI"/>
            <family val="2"/>
          </rPr>
          <t>ADMINISTRATIVO:</t>
        </r>
        <r>
          <rPr>
            <sz val="9"/>
            <color indexed="81"/>
            <rFont val="Segoe UI"/>
            <family val="2"/>
          </rPr>
          <t xml:space="preserve">
NÃO LEVA BANHO</t>
        </r>
      </text>
    </comment>
    <comment ref="B33" authorId="0" shapeId="0">
      <text>
        <r>
          <rPr>
            <b/>
            <sz val="9"/>
            <color indexed="81"/>
            <rFont val="Segoe UI"/>
            <family val="2"/>
          </rPr>
          <t>ADMINISTRATIVO:</t>
        </r>
        <r>
          <rPr>
            <sz val="9"/>
            <color indexed="81"/>
            <rFont val="Segoe UI"/>
            <family val="2"/>
          </rPr>
          <t xml:space="preserve">
NÃO LEVA BANHO</t>
        </r>
      </text>
    </comment>
    <comment ref="B51" authorId="0" shapeId="0">
      <text>
        <r>
          <rPr>
            <b/>
            <sz val="9"/>
            <color indexed="81"/>
            <rFont val="Segoe UI"/>
            <family val="2"/>
          </rPr>
          <t>ADMINISTRATIVO:</t>
        </r>
        <r>
          <rPr>
            <sz val="9"/>
            <color indexed="81"/>
            <rFont val="Segoe UI"/>
            <family val="2"/>
          </rPr>
          <t xml:space="preserve">
NÃO LEVA BANHO</t>
        </r>
      </text>
    </comment>
    <comment ref="B58" authorId="0" shapeId="0">
      <text>
        <r>
          <rPr>
            <b/>
            <sz val="9"/>
            <color indexed="81"/>
            <rFont val="Segoe UI"/>
            <family val="2"/>
          </rPr>
          <t>ADMINISTRATIVO:</t>
        </r>
        <r>
          <rPr>
            <sz val="9"/>
            <color indexed="81"/>
            <rFont val="Segoe UI"/>
            <family val="2"/>
          </rPr>
          <t xml:space="preserve">
CUSTO JÁ INCLUSO NAS PEÇAS SEPARADAMENTE</t>
        </r>
      </text>
    </comment>
    <comment ref="B59" authorId="0" shapeId="0">
      <text>
        <r>
          <rPr>
            <b/>
            <sz val="9"/>
            <color indexed="81"/>
            <rFont val="Segoe UI"/>
            <family val="2"/>
          </rPr>
          <t>ADMINISTRATIVO:</t>
        </r>
        <r>
          <rPr>
            <sz val="9"/>
            <color indexed="81"/>
            <rFont val="Segoe UI"/>
            <family val="2"/>
          </rPr>
          <t xml:space="preserve">
CUSTO JÁ INCLUSO NAS PEÇAS SEPARADAMENTE</t>
        </r>
      </text>
    </comment>
  </commentList>
</comments>
</file>

<file path=xl/sharedStrings.xml><?xml version="1.0" encoding="utf-8"?>
<sst xmlns="http://schemas.openxmlformats.org/spreadsheetml/2006/main" count="496" uniqueCount="347">
  <si>
    <t>DESCRIÇÃO</t>
  </si>
  <si>
    <t>DEFLETORA 1</t>
  </si>
  <si>
    <t>DEFLETORA 2</t>
  </si>
  <si>
    <t>TAMPA MÓVEL DAS ROSETAS</t>
  </si>
  <si>
    <t>LÂMINA 1 SUPERIOR</t>
  </si>
  <si>
    <t>LÂMINA 2 SUPERIOR</t>
  </si>
  <si>
    <t>LÂMINA 3 SUPERIOR</t>
  </si>
  <si>
    <t>MOLA DAS LÂMINAS INFERIORES</t>
  </si>
  <si>
    <t>SUPORTE DO BLOCO</t>
  </si>
  <si>
    <t>PLACA DO ACIONADOR</t>
  </si>
  <si>
    <t>MANCAL DAS LÂMINAS</t>
  </si>
  <si>
    <t>MOLA DO BRAÇO DAS LÂMINAS</t>
  </si>
  <si>
    <t>CAPA DA GAVETA</t>
  </si>
  <si>
    <t>FECHAMENTO DA CARENAGEM</t>
  </si>
  <si>
    <t>ENCAIXE DA CARENAGEM</t>
  </si>
  <si>
    <t>GAVETA</t>
  </si>
  <si>
    <t>BASE DO ENCAIXE DA CARENAGEM</t>
  </si>
  <si>
    <t>PROTEÇÃO SUPERIOR</t>
  </si>
  <si>
    <t>PLACA DAS MOLAS DAS LÂMINAS INFERIORES</t>
  </si>
  <si>
    <t>SUPORTE DA PONTEIRA</t>
  </si>
  <si>
    <t>SUPORTE DO BRAÇO DO ACIONADOR PM2100</t>
  </si>
  <si>
    <t>PRENDEDOR DO CABO</t>
  </si>
  <si>
    <t>REFORÇO DO SUPORTE DO BLOCO</t>
  </si>
  <si>
    <t>BRAÇO DO ACIONADOR PM2100</t>
  </si>
  <si>
    <t>CONJUNTO LÂMINAS SUPERIORES</t>
  </si>
  <si>
    <t>LÂMINAS INFERIORES DAS ROSETAS 2 E 3</t>
  </si>
  <si>
    <t>CONJUNTO ANEL DAS ROSETAS PM2100</t>
  </si>
  <si>
    <t>ISOLADOR PARALELO</t>
  </si>
  <si>
    <t>ESPAÇADOR ALTO</t>
  </si>
  <si>
    <t>MOLA DA PONTEIRA E AMORTECEDOR</t>
  </si>
  <si>
    <t>TERMOPAR 4 mm</t>
  </si>
  <si>
    <t>ESTRUTURA TRASEIRA</t>
  </si>
  <si>
    <t>PINO DE TRAVA DOS TIPOS</t>
  </si>
  <si>
    <t>BLOCO PM2200</t>
  </si>
  <si>
    <t>ANEL DO LOGOTIPO</t>
  </si>
  <si>
    <t>PONTEIRA</t>
  </si>
  <si>
    <t>EIXO DO BRAÇO DAS LÂMINAS</t>
  </si>
  <si>
    <t>BUCHA SEXTAVADA DAS LÂMINAS</t>
  </si>
  <si>
    <t>PINO AMORTECEDOR</t>
  </si>
  <si>
    <t>BUCHA ESPAÇADORA DAS LÂMINAS</t>
  </si>
  <si>
    <t>DISSIPADOR</t>
  </si>
  <si>
    <t>PINO DE TRAVA DA RESISTÊNCIA</t>
  </si>
  <si>
    <t>TAMPA DA RESISTÊNCIA</t>
  </si>
  <si>
    <t>MAGAZINE</t>
  </si>
  <si>
    <t>MOLA DO MAGAZINE</t>
  </si>
  <si>
    <t>ESPAÇADOR BAIXO</t>
  </si>
  <si>
    <t>ETIQUETA INFERIOR</t>
  </si>
  <si>
    <t>BLOCO PM2100</t>
  </si>
  <si>
    <t>EIXO DAS LÂMINAS INFERIORES</t>
  </si>
  <si>
    <t>ESPAÇADOR DO PORTA FUSÍVEL</t>
  </si>
  <si>
    <t>RESISTÊNCIA PM2200</t>
  </si>
  <si>
    <t>ROSETA 1 (MAIOR)</t>
  </si>
  <si>
    <t>ROSETA 2 (MEIO)</t>
  </si>
  <si>
    <t>ROSETA 3 (MENOR)</t>
  </si>
  <si>
    <t>ETIQUETA SUPERIOR PM2200</t>
  </si>
  <si>
    <t>BRAÇO DO ACIONADOR</t>
  </si>
  <si>
    <t>BUCHA DAS LÂMINAS</t>
  </si>
  <si>
    <t>PINO DAS LÂMINAS</t>
  </si>
  <si>
    <t>PORCA DO BRAÇO ACIONADOR</t>
  </si>
  <si>
    <t>BUCHA ESPAÇADORA DAS LÂMINAS INFERIORES</t>
  </si>
  <si>
    <t>EIXO DO ACIONADOR</t>
  </si>
  <si>
    <t>ETIQUETA SUPERIOR PM2100</t>
  </si>
  <si>
    <t>BUCHA DO ACIONADOR</t>
  </si>
  <si>
    <t>BUCHA DO BRAÇO ACIONADOR</t>
  </si>
  <si>
    <t>A2</t>
  </si>
  <si>
    <t>RESISTÊNCIA PM2100</t>
  </si>
  <si>
    <t>E-021</t>
  </si>
  <si>
    <t>E-022</t>
  </si>
  <si>
    <t>BOTÃO ON-OFF</t>
  </si>
  <si>
    <t>E-023</t>
  </si>
  <si>
    <t>CONTROLADOR DE TEMPERATURA</t>
  </si>
  <si>
    <t>E-024</t>
  </si>
  <si>
    <t>E-025</t>
  </si>
  <si>
    <t>RELÉ DE ESTADO SÓLIDO</t>
  </si>
  <si>
    <t>E-026</t>
  </si>
  <si>
    <t>E-028</t>
  </si>
  <si>
    <t>E-029</t>
  </si>
  <si>
    <t>F-021</t>
  </si>
  <si>
    <t>F-023</t>
  </si>
  <si>
    <t>F-024</t>
  </si>
  <si>
    <t>ARRUELA LISA M4 DIN 125 A</t>
  </si>
  <si>
    <t>F-025</t>
  </si>
  <si>
    <t>F-026</t>
  </si>
  <si>
    <t>F-028</t>
  </si>
  <si>
    <t>F-029</t>
  </si>
  <si>
    <t>ARRUELA LISA M5 DIN 125 A</t>
  </si>
  <si>
    <t>F-030</t>
  </si>
  <si>
    <t>F-031</t>
  </si>
  <si>
    <t>PARAFUSO ALLEN C/C M4x12 DIN 912</t>
  </si>
  <si>
    <t>F-032</t>
  </si>
  <si>
    <t>PORCA SEXTAVADA M5 DIN 934</t>
  </si>
  <si>
    <t>F-033</t>
  </si>
  <si>
    <t>F-034</t>
  </si>
  <si>
    <t>PORCA SEXTAVADA M3 DIN 934</t>
  </si>
  <si>
    <t>PARAFUSO ALLEN C/C M5x8 DIN 912</t>
  </si>
  <si>
    <t>F-036</t>
  </si>
  <si>
    <t>PARAFUSO ALLEN C/ABAULADA M8x16 ISO 7380</t>
  </si>
  <si>
    <t>F-037</t>
  </si>
  <si>
    <t>REBITE POP 4x12 ALUMÍNIO</t>
  </si>
  <si>
    <t>F-039</t>
  </si>
  <si>
    <t>F-040</t>
  </si>
  <si>
    <t>F-046</t>
  </si>
  <si>
    <t>F-047</t>
  </si>
  <si>
    <t>PARAFUSO ALLEN C/C M4x45 DIN 912</t>
  </si>
  <si>
    <t>PARAF. C PANELA PHILLIPS M5 x 10</t>
  </si>
  <si>
    <t>M-020</t>
  </si>
  <si>
    <t>CABO ALÇA DE BAQUELITE</t>
  </si>
  <si>
    <t>M-021</t>
  </si>
  <si>
    <t>PEZINHO 3/8"</t>
  </si>
  <si>
    <t>M-031</t>
  </si>
  <si>
    <t>PINO ELÁSTICO 1,5x6 mm</t>
  </si>
  <si>
    <t>FITA DUPLA FACE 25mm x 50 mm</t>
  </si>
  <si>
    <t>A-001</t>
  </si>
  <si>
    <t>A-002</t>
  </si>
  <si>
    <t>LUVA</t>
  </si>
  <si>
    <t>A-003</t>
  </si>
  <si>
    <t>ÓCULOS</t>
  </si>
  <si>
    <t>A-004</t>
  </si>
  <si>
    <t>ESCOVA</t>
  </si>
  <si>
    <t>A-005</t>
  </si>
  <si>
    <t>BORNE 2,5 mm2 P/ LIGAR O TERMOPAR (1 PAR)</t>
  </si>
  <si>
    <t>E-031</t>
  </si>
  <si>
    <t>PORTA FUSÍVEL</t>
  </si>
  <si>
    <t>TOMADA (VEM COM O CHICOTE)</t>
  </si>
  <si>
    <t>CABO DE FORÇA</t>
  </si>
  <si>
    <t>FUSÍVEL AUTOMOTIVO 10 AMPÉRES</t>
  </si>
  <si>
    <t>PARAF. ALLEN SC M4x16</t>
  </si>
  <si>
    <t>F-022</t>
  </si>
  <si>
    <t>PORCA SEXTAVADA M4</t>
  </si>
  <si>
    <t>PARAF. ALLEN CC M5x16</t>
  </si>
  <si>
    <t>PARAF. ALLEN CC M5x12</t>
  </si>
  <si>
    <t>PARF. ALLEN C ABAULADA M5x8</t>
  </si>
  <si>
    <t>PARAF. ALLEN CC M3x16</t>
  </si>
  <si>
    <t>F-035</t>
  </si>
  <si>
    <t>PARAFUSO ALLEN C/ABAULADA M5x12</t>
  </si>
  <si>
    <t>F-041</t>
  </si>
  <si>
    <t>PARAFUSO ALLEN C/C M4x35 DIN 912</t>
  </si>
  <si>
    <t>PARAFUSO ALLEN C/C M5x20</t>
  </si>
  <si>
    <t>SEM CÓDIGO</t>
  </si>
  <si>
    <t>CHAVE DE MUDANÇA DOS NÚMEROS</t>
  </si>
  <si>
    <t>F-068</t>
  </si>
  <si>
    <t>CONJUNTO DAS LÂMINAS SUPERIORES</t>
  </si>
  <si>
    <t>E-030</t>
  </si>
  <si>
    <t>F-019</t>
  </si>
  <si>
    <t>PARAF. ALLEN C ABAULADA M4 x 8</t>
  </si>
  <si>
    <t>POSTE DA ROSETA PM2100</t>
  </si>
  <si>
    <t xml:space="preserve">PROTEÇÃO DE SILICONE </t>
  </si>
  <si>
    <t>MOLA DOS PINOS DOS TIPOS PM2200</t>
  </si>
  <si>
    <t>POSTE DA ROSETA PM2200</t>
  </si>
  <si>
    <t>FORNECEDOR</t>
  </si>
  <si>
    <t>VIZZANO</t>
  </si>
  <si>
    <t>MARIVALDO/ PNEUMARK/ SIPRA</t>
  </si>
  <si>
    <t>MBFOR</t>
  </si>
  <si>
    <t>BLOCO PM700</t>
  </si>
  <si>
    <t>PONTO DE PEDIDO</t>
  </si>
  <si>
    <t>ESTOQUE MÍNIMO</t>
  </si>
  <si>
    <t>ESTOQUE MÁXIMO</t>
  </si>
  <si>
    <t>ESTOQUE ATUAL</t>
  </si>
  <si>
    <t>IFELASER</t>
  </si>
  <si>
    <t>FUSEELETRIC</t>
  </si>
  <si>
    <t>EDGAR MOLAS</t>
  </si>
  <si>
    <t>FCA</t>
  </si>
  <si>
    <t>RESISTÊNCIA PM700</t>
  </si>
  <si>
    <t>CASA FERREIRA</t>
  </si>
  <si>
    <t>OR TECNOCABOS</t>
  </si>
  <si>
    <t>METALTEX</t>
  </si>
  <si>
    <t>CHICOTE PM700</t>
  </si>
  <si>
    <t>IMPORTADO</t>
  </si>
  <si>
    <t>PERMAQ</t>
  </si>
  <si>
    <t>INSERÇÃO</t>
  </si>
  <si>
    <t>AUTOPEÇAS</t>
  </si>
  <si>
    <t>CISER</t>
  </si>
  <si>
    <t>FIXROL</t>
  </si>
  <si>
    <t>AMP</t>
  </si>
  <si>
    <t>RB BORRACHAS</t>
  </si>
  <si>
    <t>MERCADO LIVRE</t>
  </si>
  <si>
    <t>GRÁFICA</t>
  </si>
  <si>
    <t>PALACIO DAS FERRAMENTAS</t>
  </si>
  <si>
    <t>CHICOTE ELÉTRICO PM2100/2200</t>
  </si>
  <si>
    <t>PARAF. ALLEN S/C M4x8</t>
  </si>
  <si>
    <t>ANEL ELASTICO 3.2 MM</t>
  </si>
  <si>
    <t>MOLA DOS PINOS DOS TIPOS PM700</t>
  </si>
  <si>
    <t>MANUAL 2100 E 2200</t>
  </si>
  <si>
    <t>MANUAL 700</t>
  </si>
  <si>
    <t>CONJUNTO ANEL DA ROSETA PM2200</t>
  </si>
  <si>
    <t>PINO DE TRAVA DOS TIPOS    19.0</t>
  </si>
  <si>
    <t>PINO DE TRAVA DOS TIPOS    18.0</t>
  </si>
  <si>
    <t>PINO DE TRAVA DOS TIPOS    20.4</t>
  </si>
  <si>
    <t>PINO DE TRAVA DOS TIPOS    21.7</t>
  </si>
  <si>
    <t>PINO DE TRAVA DOS TIPOS    22.7</t>
  </si>
  <si>
    <t>PINO DE TRAVA DOS TIPOS    23.0</t>
  </si>
  <si>
    <t>PARAF. ALLEN CC M3x6</t>
  </si>
  <si>
    <t>PARAFUSO ALLEN S/C M5x25 DIN 916 POSTE</t>
  </si>
  <si>
    <t>REBITE POP 3 /13ALUMÍNIO</t>
  </si>
  <si>
    <t>15-032</t>
  </si>
  <si>
    <t>15-027</t>
  </si>
  <si>
    <t>SUPORTE DO BRAÇO ACIONADOR PM2200</t>
  </si>
  <si>
    <t>PÉ DA PM700</t>
  </si>
  <si>
    <t>ETIQUETA DO TERRA</t>
  </si>
  <si>
    <t>PORCA SEXTAVA M8 MALETA</t>
  </si>
  <si>
    <t xml:space="preserve">PORCA SEXTAVADA M4 RETEÇÃO </t>
  </si>
  <si>
    <t xml:space="preserve">PINO DAS LÂMINAS </t>
  </si>
  <si>
    <t>7-037</t>
  </si>
  <si>
    <t>F-038</t>
  </si>
  <si>
    <t>UNIDADE</t>
  </si>
  <si>
    <t>2-007-B</t>
  </si>
  <si>
    <t>2-011-C</t>
  </si>
  <si>
    <t>2-012-C</t>
  </si>
  <si>
    <t>2-013-B</t>
  </si>
  <si>
    <t>2-014-B</t>
  </si>
  <si>
    <t>2-015-B</t>
  </si>
  <si>
    <t>2-016-A</t>
  </si>
  <si>
    <t>2-017-B</t>
  </si>
  <si>
    <t>2-019-A</t>
  </si>
  <si>
    <t>2-023-C</t>
  </si>
  <si>
    <t>2-024-B</t>
  </si>
  <si>
    <t>2-029-B</t>
  </si>
  <si>
    <t>2-030-A</t>
  </si>
  <si>
    <t>2-032</t>
  </si>
  <si>
    <t>2-033</t>
  </si>
  <si>
    <t>2-037</t>
  </si>
  <si>
    <t>7-006-B</t>
  </si>
  <si>
    <t>7-007-C</t>
  </si>
  <si>
    <t>7-013-B</t>
  </si>
  <si>
    <t>7-014-B</t>
  </si>
  <si>
    <t>7-017-A</t>
  </si>
  <si>
    <t>7-021</t>
  </si>
  <si>
    <t>7-025-A</t>
  </si>
  <si>
    <t>7-027-B</t>
  </si>
  <si>
    <t>7-028-A</t>
  </si>
  <si>
    <t>7-029-A</t>
  </si>
  <si>
    <t>7-030-A</t>
  </si>
  <si>
    <t>7-036</t>
  </si>
  <si>
    <t>7-042-B</t>
  </si>
  <si>
    <t>7-044-B</t>
  </si>
  <si>
    <t>7-045-A</t>
  </si>
  <si>
    <t>7-046-C</t>
  </si>
  <si>
    <t>7-047-A</t>
  </si>
  <si>
    <t>7-048-C</t>
  </si>
  <si>
    <t>7-049</t>
  </si>
  <si>
    <t>7-052-B</t>
  </si>
  <si>
    <t>7-053</t>
  </si>
  <si>
    <t>7-054</t>
  </si>
  <si>
    <t>7-060</t>
  </si>
  <si>
    <t>7-061</t>
  </si>
  <si>
    <t>7-063</t>
  </si>
  <si>
    <t>7-066-A</t>
  </si>
  <si>
    <t>7-069</t>
  </si>
  <si>
    <t>7-070</t>
  </si>
  <si>
    <t>8-010-B</t>
  </si>
  <si>
    <t>15-015-B</t>
  </si>
  <si>
    <t>20-019-A</t>
  </si>
  <si>
    <t>28-001-B</t>
  </si>
  <si>
    <t>28-004-B</t>
  </si>
  <si>
    <t>28-006-A</t>
  </si>
  <si>
    <t>28-008-B</t>
  </si>
  <si>
    <t xml:space="preserve">28-009-A </t>
  </si>
  <si>
    <t>28-010-A</t>
  </si>
  <si>
    <t>28-013</t>
  </si>
  <si>
    <t>28-014-A</t>
  </si>
  <si>
    <t>2-038</t>
  </si>
  <si>
    <t>2-036-A</t>
  </si>
  <si>
    <t>7-068-A</t>
  </si>
  <si>
    <t>1-034-A</t>
  </si>
  <si>
    <t>2-003-C</t>
  </si>
  <si>
    <t>2-005-C</t>
  </si>
  <si>
    <t>2-008</t>
  </si>
  <si>
    <t>2-009</t>
  </si>
  <si>
    <t>2-010</t>
  </si>
  <si>
    <t>2-018</t>
  </si>
  <si>
    <t>2-026-B</t>
  </si>
  <si>
    <t>2-027-B</t>
  </si>
  <si>
    <t>2-034</t>
  </si>
  <si>
    <t>2-035</t>
  </si>
  <si>
    <t>7-001-B</t>
  </si>
  <si>
    <t>7-011-18</t>
  </si>
  <si>
    <t>7-011-19</t>
  </si>
  <si>
    <t>7-011-20.4</t>
  </si>
  <si>
    <t>7-011-21.7</t>
  </si>
  <si>
    <t>7-011-22.7</t>
  </si>
  <si>
    <t>7-011-23.0</t>
  </si>
  <si>
    <t>7-012</t>
  </si>
  <si>
    <t>7-015</t>
  </si>
  <si>
    <t>7-016</t>
  </si>
  <si>
    <t>7-019-C</t>
  </si>
  <si>
    <t>7-022</t>
  </si>
  <si>
    <t>7-023</t>
  </si>
  <si>
    <t>7-024</t>
  </si>
  <si>
    <t>7-033-B</t>
  </si>
  <si>
    <t>28-011</t>
  </si>
  <si>
    <t>28-007</t>
  </si>
  <si>
    <t>28-005</t>
  </si>
  <si>
    <t>28-002-A</t>
  </si>
  <si>
    <t>8-030</t>
  </si>
  <si>
    <t>7-067</t>
  </si>
  <si>
    <t>7-065</t>
  </si>
  <si>
    <t>7-064</t>
  </si>
  <si>
    <t>7-062</t>
  </si>
  <si>
    <t>7-056-A</t>
  </si>
  <si>
    <t>7-043-A</t>
  </si>
  <si>
    <t>7-040-A</t>
  </si>
  <si>
    <t>7-039</t>
  </si>
  <si>
    <t>7-037-A</t>
  </si>
  <si>
    <t>7-035-B</t>
  </si>
  <si>
    <t>7-034-B</t>
  </si>
  <si>
    <t>1-014</t>
  </si>
  <si>
    <t>28-015</t>
  </si>
  <si>
    <t>2-021</t>
  </si>
  <si>
    <t>2-025</t>
  </si>
  <si>
    <t>2-031</t>
  </si>
  <si>
    <t>7-032</t>
  </si>
  <si>
    <t>7-050-A</t>
  </si>
  <si>
    <t>7-051</t>
  </si>
  <si>
    <t>28-003</t>
  </si>
  <si>
    <t>7-041</t>
  </si>
  <si>
    <t>7-071</t>
  </si>
  <si>
    <t>2-028</t>
  </si>
  <si>
    <t>F-000</t>
  </si>
  <si>
    <t>CABO DE FORÇA PM700</t>
  </si>
  <si>
    <t>LÂMINA INFERIOR DA ROSETA 1 2200</t>
  </si>
  <si>
    <t>BRAÇO DAS LÂMINAS 2100</t>
  </si>
  <si>
    <t>DEFLETORA 1 1900 2100</t>
  </si>
  <si>
    <t>DEFLETORA 2 1900 2100</t>
  </si>
  <si>
    <t>PROTEÇÃO INFERIOR 1900 2100</t>
  </si>
  <si>
    <t>PROTEÇÃO SUPERIOR 2100</t>
  </si>
  <si>
    <t>BASE 1900 2100 2200</t>
  </si>
  <si>
    <t>CARENAGEM 1900 2100 2200</t>
  </si>
  <si>
    <t>TAMPA MÓVEL DAS ROSETAS 2200</t>
  </si>
  <si>
    <t>PROTEÇÃO INFERIOR 2200</t>
  </si>
  <si>
    <t>PROTEÇÃO SUPERIOR 2200</t>
  </si>
  <si>
    <t>PLACA DAS MOLAS DAS LÂMINAS INFERIORES 2200</t>
  </si>
  <si>
    <t>LÂMINAS INFERIORES DAS ROSETAS 2 E 3 2200</t>
  </si>
  <si>
    <t>LÂMINA 3 SUPERIOR 2200</t>
  </si>
  <si>
    <t>BRAÇO DAS LÂMINAS PM2200</t>
  </si>
  <si>
    <t>TAMPA FIXA DAS ROSETAS 2200</t>
  </si>
  <si>
    <t>MANCAL DAS LÂMINAS  2200</t>
  </si>
  <si>
    <t>LÂMINA 2 SUPERIOR 2200</t>
  </si>
  <si>
    <t>LÂMINA 1 SUPERIOR 2200</t>
  </si>
  <si>
    <t>DEFLETORA 2 2200</t>
  </si>
  <si>
    <t>DEFLETORA 1 2200</t>
  </si>
  <si>
    <t>CAIXINHA PM700</t>
  </si>
  <si>
    <t>nCodForn</t>
  </si>
  <si>
    <t>nCodProd</t>
  </si>
  <si>
    <t>SAFIRA</t>
  </si>
  <si>
    <t>LÂMINA INFERIOR DA ROSETA 1 PM2100</t>
  </si>
  <si>
    <t>MOLA DOS PINOS DOS TIPOS PM2100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</si>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</sst>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7"/>
      <name val="Arial"/>
      <family val="2"/>
    </font>
    <font>
      <sz val="9"/>
      <name val="Arial"/>
      <family val="2"/>
    </font>
    <font>
      <sz val="8"/>
      <color theme="0" tint="-0.14999847407452621"/>
      <name val="Calibri"/>
      <family val="2"/>
      <scheme val="minor"/>
    </font>
    <font>
      <sz val="8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C00"/>
        <bgColor indexed="64"/>
      </patternFill>
    </fill>
  </fills>
  <borders count="4">
    <border>
      <left/>
      <right/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/>
      <bottom/>
      <diagonal/>
    </border>
    <border>
      <left/>
      <right/>
      <top/>
      <bottom style="medium">
        <color theme="0" tint="-0.14999847407452621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7" fillId="0" borderId="0" xfId="0" applyFont="1" applyBorder="1"/>
    <xf numFmtId="0" fontId="7" fillId="2" borderId="0" xfId="0" applyFont="1" applyFill="1" applyBorder="1"/>
    <xf numFmtId="0" fontId="2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44" fontId="8" fillId="0" borderId="0" xfId="4" applyFont="1" applyFill="1" applyBorder="1" applyAlignment="1">
      <alignment horizontal="center"/>
    </xf>
    <xf numFmtId="44" fontId="7" fillId="0" borderId="0" xfId="4" applyFont="1" applyFill="1" applyBorder="1" applyAlignment="1">
      <alignment horizontal="center"/>
    </xf>
    <xf numFmtId="44" fontId="8" fillId="0" borderId="0" xfId="4" applyFont="1" applyFill="1" applyBorder="1" applyAlignment="1">
      <alignment horizontal="right"/>
    </xf>
    <xf numFmtId="44" fontId="7" fillId="0" borderId="0" xfId="4" applyFont="1" applyFill="1" applyBorder="1"/>
    <xf numFmtId="44" fontId="10" fillId="0" borderId="0" xfId="4" applyFont="1" applyFill="1" applyBorder="1"/>
    <xf numFmtId="44" fontId="9" fillId="0" borderId="0" xfId="4" applyFont="1" applyFill="1" applyBorder="1"/>
    <xf numFmtId="44" fontId="2" fillId="0" borderId="0" xfId="4" applyFont="1" applyFill="1" applyBorder="1"/>
    <xf numFmtId="3" fontId="7" fillId="4" borderId="0" xfId="0" applyNumberFormat="1" applyFont="1" applyFill="1" applyBorder="1" applyAlignment="1">
      <alignment horizontal="center"/>
    </xf>
    <xf numFmtId="3" fontId="7" fillId="5" borderId="0" xfId="0" applyNumberFormat="1" applyFont="1" applyFill="1" applyBorder="1" applyAlignment="1">
      <alignment horizontal="center"/>
    </xf>
    <xf numFmtId="3" fontId="7" fillId="6" borderId="0" xfId="0" applyNumberFormat="1" applyFont="1" applyFill="1" applyBorder="1" applyAlignment="1">
      <alignment horizontal="center"/>
    </xf>
    <xf numFmtId="0" fontId="12" fillId="0" borderId="0" xfId="0" applyFont="1" applyFill="1" applyBorder="1"/>
    <xf numFmtId="0" fontId="7" fillId="0" borderId="1" xfId="0" applyFont="1" applyBorder="1"/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44" fontId="11" fillId="3" borderId="3" xfId="4" applyFont="1" applyFill="1" applyBorder="1" applyAlignment="1">
      <alignment horizontal="center"/>
    </xf>
    <xf numFmtId="0" fontId="11" fillId="3" borderId="3" xfId="0" applyFont="1" applyFill="1" applyBorder="1"/>
    <xf numFmtId="0" fontId="11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 wrapText="1"/>
    </xf>
  </cellXfs>
  <cellStyles count="5">
    <cellStyle name="Moeda" xfId="4" builtinId="4"/>
    <cellStyle name="Normal" xfId="0" builtinId="0"/>
    <cellStyle name="Normal 2" xfId="1"/>
    <cellStyle name="Normal 2 2" xfId="3"/>
    <cellStyle name="Porcentagem 2" xfId="2"/>
  </cellStyles>
  <dxfs count="0"/>
  <tableStyles count="0" defaultTableStyle="TableStyleMedium9" defaultPivotStyle="PivotStyleLight16"/>
  <colors>
    <mruColors>
      <color rgb="FFFFCC00"/>
      <color rgb="FFFF3300"/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2">
    <tabColor theme="4"/>
  </sheetPr>
  <dimension ref="A1:U241"/>
  <sheetViews>
    <sheetView showGridLines="0" tabSelected="1" zoomScale="98" zoomScaleNormal="98" workbookViewId="0">
      <pane ySplit="1" topLeftCell="A2" activePane="bottomLeft" state="frozen"/>
      <selection pane="bottomLeft" activeCell="T1" sqref="T1"/>
    </sheetView>
  </sheetViews>
  <sheetFormatPr defaultRowHeight="11.25" x14ac:dyDescent="0.2"/>
  <cols>
    <col min="1" max="1" width="9.7109375" style="7" customWidth="1"/>
    <col min="2" max="2" width="37.7109375" style="10" customWidth="1"/>
    <col min="3" max="3" width="17.7109375" style="11" customWidth="1"/>
    <col min="4" max="4" width="2.7109375" style="7" bestFit="1" customWidth="1"/>
    <col min="5" max="6" width="5.42578125" style="7" bestFit="1" customWidth="1"/>
    <col min="7" max="7" width="2.7109375" style="7" bestFit="1" customWidth="1"/>
    <col min="8" max="9" width="3.5703125" style="7" bestFit="1" customWidth="1"/>
    <col min="10" max="12" width="2.7109375" style="10" bestFit="1" customWidth="1"/>
    <col min="13" max="13" width="4.5703125" style="10" bestFit="1" customWidth="1"/>
    <col min="14" max="14" width="13.7109375" style="10" bestFit="1" customWidth="1"/>
    <col min="15" max="16" width="14.28515625" style="10" bestFit="1" customWidth="1"/>
    <col min="17" max="17" width="13.140625" style="7" bestFit="1" customWidth="1"/>
    <col min="18" max="18" width="9.7109375" style="18" customWidth="1"/>
    <col min="19" max="20" width="9.7109375" style="10" customWidth="1"/>
    <col min="21" max="16384" width="9.140625" style="1"/>
  </cols>
  <sheetData>
    <row r="1" spans="1:21" s="22" customFormat="1" ht="20.100000000000001" customHeight="1" thickBot="1" x14ac:dyDescent="0.25">
      <c r="A1" s="24" t="s">
        <v>346</v>
      </c>
      <c r="B1" s="30" t="s">
        <v>0</v>
      </c>
      <c r="C1" s="28" t="s">
        <v>149</v>
      </c>
      <c r="D1" s="31"/>
      <c r="E1" s="31"/>
      <c r="F1" s="31"/>
      <c r="G1" s="25"/>
      <c r="H1" s="25"/>
      <c r="I1" s="25"/>
      <c r="J1" s="25"/>
      <c r="K1" s="25"/>
      <c r="L1" s="25"/>
      <c r="M1" s="31"/>
      <c r="N1" s="29" t="s">
        <v>155</v>
      </c>
      <c r="O1" s="29" t="s">
        <v>154</v>
      </c>
      <c r="P1" s="29" t="s">
        <v>156</v>
      </c>
      <c r="Q1" s="29" t="s">
        <v>157</v>
      </c>
      <c r="R1" s="26" t="s">
        <v>204</v>
      </c>
      <c r="S1" s="27" t="s">
        <v>341</v>
      </c>
      <c r="T1" s="27" t="s">
        <v>342</v>
      </c>
    </row>
    <row r="2" spans="1:21" s="5" customFormat="1" ht="11.45" customHeight="1" x14ac:dyDescent="0.2">
      <c r="A2" s="3" t="s">
        <v>205</v>
      </c>
      <c r="B2" s="2" t="s">
        <v>333</v>
      </c>
      <c r="C2" s="8" t="s">
        <v>158</v>
      </c>
      <c r="D2" s="3">
        <v>30</v>
      </c>
      <c r="E2" s="3">
        <v>110</v>
      </c>
      <c r="F2" s="3">
        <v>110</v>
      </c>
      <c r="G2" s="3">
        <v>0</v>
      </c>
      <c r="H2" s="3">
        <v>0</v>
      </c>
      <c r="I2" s="3">
        <v>1</v>
      </c>
      <c r="J2" s="3">
        <v>15</v>
      </c>
      <c r="K2" s="3">
        <v>41</v>
      </c>
      <c r="L2" s="3">
        <v>55</v>
      </c>
      <c r="M2" s="3">
        <f>(G2*J2)+(H2*K2)+(I2*L2)</f>
        <v>55</v>
      </c>
      <c r="N2" s="20">
        <f>(D2/30)*M2</f>
        <v>55</v>
      </c>
      <c r="O2" s="21">
        <f>N2+((D2/30)*M2)</f>
        <v>110</v>
      </c>
      <c r="P2" s="19">
        <f>N2+E2</f>
        <v>165</v>
      </c>
      <c r="Q2" s="4">
        <v>2</v>
      </c>
      <c r="R2" s="12">
        <v>2.79</v>
      </c>
      <c r="S2" s="2">
        <v>2204409082</v>
      </c>
      <c r="T2" s="2">
        <v>3268959880</v>
      </c>
    </row>
    <row r="3" spans="1:21" s="5" customFormat="1" ht="11.45" customHeight="1" x14ac:dyDescent="0.2">
      <c r="A3" s="3" t="s">
        <v>206</v>
      </c>
      <c r="B3" s="2" t="s">
        <v>339</v>
      </c>
      <c r="C3" s="8" t="s">
        <v>158</v>
      </c>
      <c r="D3" s="3">
        <v>30</v>
      </c>
      <c r="E3" s="3">
        <v>110</v>
      </c>
      <c r="F3" s="3">
        <v>110</v>
      </c>
      <c r="G3" s="3">
        <v>0</v>
      </c>
      <c r="H3" s="3">
        <v>0</v>
      </c>
      <c r="I3" s="3">
        <v>1</v>
      </c>
      <c r="J3" s="3">
        <v>15</v>
      </c>
      <c r="K3" s="3">
        <v>41</v>
      </c>
      <c r="L3" s="3">
        <v>55</v>
      </c>
      <c r="M3" s="3">
        <f>(G3*J3)+(H3*K3)+(I3*L3)</f>
        <v>55</v>
      </c>
      <c r="N3" s="20">
        <f>(D3/30)*M3</f>
        <v>55</v>
      </c>
      <c r="O3" s="21">
        <f>N3+((D3/30)*M3)</f>
        <v>110</v>
      </c>
      <c r="P3" s="19">
        <f>N3+E3</f>
        <v>165</v>
      </c>
      <c r="Q3" s="4">
        <v>4992</v>
      </c>
      <c r="R3" s="12">
        <v>9.0399999999999991</v>
      </c>
      <c r="S3" s="2">
        <v>2204409082</v>
      </c>
      <c r="T3" s="2">
        <v>3268963259</v>
      </c>
    </row>
    <row r="4" spans="1:21" s="5" customFormat="1" ht="11.45" customHeight="1" x14ac:dyDescent="0.2">
      <c r="A4" s="3" t="s">
        <v>207</v>
      </c>
      <c r="B4" s="2" t="s">
        <v>338</v>
      </c>
      <c r="C4" s="8" t="s">
        <v>158</v>
      </c>
      <c r="D4" s="3">
        <v>30</v>
      </c>
      <c r="E4" s="3">
        <v>110</v>
      </c>
      <c r="F4" s="3">
        <v>110</v>
      </c>
      <c r="G4" s="3">
        <v>0</v>
      </c>
      <c r="H4" s="3">
        <v>0</v>
      </c>
      <c r="I4" s="3">
        <v>1</v>
      </c>
      <c r="J4" s="3">
        <v>15</v>
      </c>
      <c r="K4" s="3">
        <v>41</v>
      </c>
      <c r="L4" s="3">
        <v>55</v>
      </c>
      <c r="M4" s="3">
        <f>(G4*J4)+(H4*K4)+(I4*L4)</f>
        <v>55</v>
      </c>
      <c r="N4" s="20">
        <f>(D4/30)*M4</f>
        <v>55</v>
      </c>
      <c r="O4" s="21">
        <f>N4+((D4/30)*M4)</f>
        <v>110</v>
      </c>
      <c r="P4" s="19">
        <f>N4+E4</f>
        <v>165</v>
      </c>
      <c r="Q4" s="4">
        <v>2</v>
      </c>
      <c r="R4" s="12">
        <v>11.72</v>
      </c>
      <c r="S4" s="2">
        <v>2204409082</v>
      </c>
      <c r="T4" s="2">
        <v>3268963361</v>
      </c>
    </row>
    <row r="5" spans="1:21" s="5" customFormat="1" ht="11.45" customHeight="1" x14ac:dyDescent="0.2">
      <c r="A5" s="3" t="s">
        <v>208</v>
      </c>
      <c r="B5" s="2" t="s">
        <v>337</v>
      </c>
      <c r="C5" s="8" t="s">
        <v>158</v>
      </c>
      <c r="D5" s="3">
        <v>30</v>
      </c>
      <c r="E5" s="3">
        <v>110</v>
      </c>
      <c r="F5" s="3">
        <v>110</v>
      </c>
      <c r="G5" s="3">
        <v>0</v>
      </c>
      <c r="H5" s="3">
        <v>0</v>
      </c>
      <c r="I5" s="3">
        <v>1</v>
      </c>
      <c r="J5" s="3">
        <v>15</v>
      </c>
      <c r="K5" s="3">
        <v>41</v>
      </c>
      <c r="L5" s="3">
        <v>55</v>
      </c>
      <c r="M5" s="3">
        <f>(G5*J5)+(H5*K5)+(I5*L5)</f>
        <v>55</v>
      </c>
      <c r="N5" s="20">
        <f>(D5/30)*M5</f>
        <v>55</v>
      </c>
      <c r="O5" s="21">
        <f>N5+((D5/30)*M5)</f>
        <v>110</v>
      </c>
      <c r="P5" s="19">
        <f>N5+E5</f>
        <v>165</v>
      </c>
      <c r="Q5" s="4">
        <v>4992</v>
      </c>
      <c r="R5" s="12">
        <v>1.94</v>
      </c>
      <c r="S5" s="2">
        <v>2204409082</v>
      </c>
      <c r="T5" s="2">
        <v>3268963476</v>
      </c>
    </row>
    <row r="6" spans="1:21" s="5" customFormat="1" ht="11.45" customHeight="1" x14ac:dyDescent="0.2">
      <c r="A6" s="3" t="s">
        <v>209</v>
      </c>
      <c r="B6" s="2" t="s">
        <v>336</v>
      </c>
      <c r="C6" s="8" t="s">
        <v>158</v>
      </c>
      <c r="D6" s="3">
        <v>30</v>
      </c>
      <c r="E6" s="3">
        <v>110</v>
      </c>
      <c r="F6" s="3">
        <v>110</v>
      </c>
      <c r="G6" s="3">
        <v>0</v>
      </c>
      <c r="H6" s="3">
        <v>0</v>
      </c>
      <c r="I6" s="3">
        <v>1</v>
      </c>
      <c r="J6" s="3">
        <v>15</v>
      </c>
      <c r="K6" s="3">
        <v>41</v>
      </c>
      <c r="L6" s="3">
        <v>55</v>
      </c>
      <c r="M6" s="3">
        <f>(G6*J6)+(H6*K6)+(I6*L6)</f>
        <v>55</v>
      </c>
      <c r="N6" s="20">
        <f>(D6/30)*M6</f>
        <v>55</v>
      </c>
      <c r="O6" s="21">
        <f>N6+((D6/30)*M6)</f>
        <v>110</v>
      </c>
      <c r="P6" s="19">
        <f>N6+E6</f>
        <v>165</v>
      </c>
      <c r="Q6" s="4">
        <v>4992</v>
      </c>
      <c r="R6" s="12">
        <v>2.89</v>
      </c>
      <c r="S6" s="2">
        <v>2204409082</v>
      </c>
      <c r="T6" s="2">
        <v>3268964040</v>
      </c>
    </row>
    <row r="7" spans="1:21" s="5" customFormat="1" ht="11.45" customHeight="1" x14ac:dyDescent="0.2">
      <c r="A7" s="3" t="s">
        <v>210</v>
      </c>
      <c r="B7" s="2" t="s">
        <v>332</v>
      </c>
      <c r="C7" s="8" t="s">
        <v>158</v>
      </c>
      <c r="D7" s="3">
        <v>30</v>
      </c>
      <c r="E7" s="3">
        <v>110</v>
      </c>
      <c r="F7" s="3">
        <v>110</v>
      </c>
      <c r="G7" s="3">
        <v>0</v>
      </c>
      <c r="H7" s="3">
        <v>0</v>
      </c>
      <c r="I7" s="3">
        <v>1</v>
      </c>
      <c r="J7" s="3">
        <v>15</v>
      </c>
      <c r="K7" s="3">
        <v>41</v>
      </c>
      <c r="L7" s="3">
        <v>55</v>
      </c>
      <c r="M7" s="3">
        <f>(G7*J7)+(H7*K7)+(I7*L7)</f>
        <v>55</v>
      </c>
      <c r="N7" s="20">
        <f>(D7/30)*M7</f>
        <v>55</v>
      </c>
      <c r="O7" s="21">
        <f>N7+((D7/30)*M7)</f>
        <v>110</v>
      </c>
      <c r="P7" s="19">
        <f>N7+E7</f>
        <v>165</v>
      </c>
      <c r="Q7" s="4">
        <v>12</v>
      </c>
      <c r="R7" s="12">
        <v>2.17</v>
      </c>
      <c r="S7" s="2">
        <v>2204409082</v>
      </c>
      <c r="T7" s="2">
        <v>3268964463</v>
      </c>
    </row>
    <row r="8" spans="1:21" s="5" customFormat="1" ht="11.45" customHeight="1" x14ac:dyDescent="0.2">
      <c r="A8" s="3" t="s">
        <v>211</v>
      </c>
      <c r="B8" s="2" t="s">
        <v>331</v>
      </c>
      <c r="C8" s="8" t="s">
        <v>158</v>
      </c>
      <c r="D8" s="3">
        <v>30</v>
      </c>
      <c r="E8" s="3">
        <v>250</v>
      </c>
      <c r="F8" s="3">
        <v>250</v>
      </c>
      <c r="G8" s="3">
        <v>0</v>
      </c>
      <c r="H8" s="3">
        <v>0</v>
      </c>
      <c r="I8" s="3">
        <v>2</v>
      </c>
      <c r="J8" s="3">
        <v>15</v>
      </c>
      <c r="K8" s="3">
        <v>41</v>
      </c>
      <c r="L8" s="3">
        <v>55</v>
      </c>
      <c r="M8" s="3">
        <f>(G8*J8)+(H8*K8)+(I8*L8)</f>
        <v>110</v>
      </c>
      <c r="N8" s="20">
        <f>(D8/30)*M8</f>
        <v>110</v>
      </c>
      <c r="O8" s="21">
        <f>N8+((D8/30)*M8)</f>
        <v>220</v>
      </c>
      <c r="P8" s="19">
        <f>N8+E8</f>
        <v>360</v>
      </c>
      <c r="Q8" s="4">
        <v>4984</v>
      </c>
      <c r="R8" s="12">
        <v>2.5099999999999998</v>
      </c>
      <c r="S8" s="2">
        <v>2204409082</v>
      </c>
      <c r="T8" s="2">
        <v>3268964917</v>
      </c>
    </row>
    <row r="9" spans="1:21" s="5" customFormat="1" ht="11.45" customHeight="1" x14ac:dyDescent="0.2">
      <c r="A9" s="3" t="s">
        <v>212</v>
      </c>
      <c r="B9" s="2" t="s">
        <v>335</v>
      </c>
      <c r="C9" s="8" t="s">
        <v>158</v>
      </c>
      <c r="D9" s="3">
        <v>30</v>
      </c>
      <c r="E9" s="3">
        <v>250</v>
      </c>
      <c r="F9" s="3">
        <v>250</v>
      </c>
      <c r="G9" s="3">
        <v>0</v>
      </c>
      <c r="H9" s="3">
        <v>0</v>
      </c>
      <c r="I9" s="3">
        <v>2</v>
      </c>
      <c r="J9" s="3">
        <v>15</v>
      </c>
      <c r="K9" s="3">
        <v>41</v>
      </c>
      <c r="L9" s="3">
        <v>55</v>
      </c>
      <c r="M9" s="3">
        <f>(G9*J9)+(H9*K9)+(I9*L9)</f>
        <v>110</v>
      </c>
      <c r="N9" s="20">
        <f>(D9/30)*M9</f>
        <v>110</v>
      </c>
      <c r="O9" s="21">
        <f>N9+((D9/30)*M9)</f>
        <v>220</v>
      </c>
      <c r="P9" s="19">
        <f>N9+E9</f>
        <v>360</v>
      </c>
      <c r="Q9" s="4">
        <v>4984</v>
      </c>
      <c r="R9" s="12">
        <v>1.08</v>
      </c>
      <c r="S9" s="2">
        <v>2204409082</v>
      </c>
      <c r="T9" s="2">
        <v>3268965501</v>
      </c>
    </row>
    <row r="10" spans="1:21" s="5" customFormat="1" ht="11.45" customHeight="1" x14ac:dyDescent="0.2">
      <c r="A10" s="3" t="s">
        <v>213</v>
      </c>
      <c r="B10" s="2" t="s">
        <v>330</v>
      </c>
      <c r="C10" s="8" t="s">
        <v>158</v>
      </c>
      <c r="D10" s="3">
        <v>30</v>
      </c>
      <c r="E10" s="3">
        <v>110</v>
      </c>
      <c r="F10" s="3">
        <v>110</v>
      </c>
      <c r="G10" s="3">
        <v>0</v>
      </c>
      <c r="H10" s="3">
        <v>0</v>
      </c>
      <c r="I10" s="3">
        <v>1</v>
      </c>
      <c r="J10" s="3">
        <v>15</v>
      </c>
      <c r="K10" s="3">
        <v>41</v>
      </c>
      <c r="L10" s="3">
        <v>55</v>
      </c>
      <c r="M10" s="3">
        <f>(G10*J10)+(H10*K10)+(I10*L10)</f>
        <v>55</v>
      </c>
      <c r="N10" s="20">
        <f>(D10/30)*M10</f>
        <v>55</v>
      </c>
      <c r="O10" s="21">
        <f>N10+((D10/30)*M10)</f>
        <v>110</v>
      </c>
      <c r="P10" s="19">
        <f>N10+E10</f>
        <v>165</v>
      </c>
      <c r="Q10" s="4">
        <v>4992</v>
      </c>
      <c r="R10" s="12">
        <v>0.89</v>
      </c>
      <c r="S10" s="2">
        <v>2204409082</v>
      </c>
      <c r="T10" s="2">
        <v>3268966764</v>
      </c>
    </row>
    <row r="11" spans="1:21" s="5" customFormat="1" ht="11.45" customHeight="1" thickBot="1" x14ac:dyDescent="0.25">
      <c r="A11" s="3" t="s">
        <v>214</v>
      </c>
      <c r="B11" s="2" t="s">
        <v>329</v>
      </c>
      <c r="C11" s="8" t="s">
        <v>158</v>
      </c>
      <c r="D11" s="3">
        <v>30</v>
      </c>
      <c r="E11" s="3">
        <v>110</v>
      </c>
      <c r="F11" s="3">
        <v>110</v>
      </c>
      <c r="G11" s="3">
        <v>0</v>
      </c>
      <c r="H11" s="3">
        <v>0</v>
      </c>
      <c r="I11" s="3">
        <v>1</v>
      </c>
      <c r="J11" s="3">
        <v>15</v>
      </c>
      <c r="K11" s="3">
        <v>41</v>
      </c>
      <c r="L11" s="3">
        <v>55</v>
      </c>
      <c r="M11" s="3">
        <f>(G11*J11)+(H11*K11)+(I11*L11)</f>
        <v>55</v>
      </c>
      <c r="N11" s="20">
        <f>(D11/30)*M11</f>
        <v>55</v>
      </c>
      <c r="O11" s="21">
        <f>N11+((D11/30)*M11)</f>
        <v>110</v>
      </c>
      <c r="P11" s="19">
        <f>N11+E11</f>
        <v>165</v>
      </c>
      <c r="Q11" s="4">
        <v>4992</v>
      </c>
      <c r="R11" s="12">
        <v>35.770000000000003</v>
      </c>
      <c r="S11" s="2">
        <v>2204409082</v>
      </c>
      <c r="T11" s="2">
        <v>3268966932</v>
      </c>
    </row>
    <row r="12" spans="1:21" s="5" customFormat="1" ht="11.45" customHeight="1" thickBot="1" x14ac:dyDescent="0.25">
      <c r="A12" s="3" t="s">
        <v>215</v>
      </c>
      <c r="B12" s="2" t="s">
        <v>328</v>
      </c>
      <c r="C12" s="8" t="s">
        <v>158</v>
      </c>
      <c r="D12" s="3">
        <v>30</v>
      </c>
      <c r="E12" s="3">
        <v>110</v>
      </c>
      <c r="F12" s="3">
        <v>110</v>
      </c>
      <c r="G12" s="3">
        <v>0</v>
      </c>
      <c r="H12" s="3">
        <v>0</v>
      </c>
      <c r="I12" s="3">
        <v>1</v>
      </c>
      <c r="J12" s="3">
        <v>15</v>
      </c>
      <c r="K12" s="3">
        <v>41</v>
      </c>
      <c r="L12" s="3">
        <v>55</v>
      </c>
      <c r="M12" s="3">
        <f>(G12*J12)+(H12*K12)+(I12*L12)</f>
        <v>55</v>
      </c>
      <c r="N12" s="20">
        <f>(D12/30)*M12</f>
        <v>55</v>
      </c>
      <c r="O12" s="21">
        <f>N12+((D12/30)*M12)</f>
        <v>110</v>
      </c>
      <c r="P12" s="19">
        <f>N12+E12</f>
        <v>165</v>
      </c>
      <c r="Q12" s="4">
        <v>4992</v>
      </c>
      <c r="R12" s="12">
        <v>42.49</v>
      </c>
      <c r="S12" s="2">
        <v>2204409082</v>
      </c>
      <c r="T12" s="2">
        <v>3268967198</v>
      </c>
      <c r="U12" s="23"/>
    </row>
    <row r="13" spans="1:21" s="5" customFormat="1" ht="11.45" customHeight="1" x14ac:dyDescent="0.2">
      <c r="A13" s="3" t="s">
        <v>216</v>
      </c>
      <c r="B13" s="2" t="s">
        <v>327</v>
      </c>
      <c r="C13" s="8" t="s">
        <v>158</v>
      </c>
      <c r="D13" s="3">
        <v>30</v>
      </c>
      <c r="E13" s="3">
        <v>110</v>
      </c>
      <c r="F13" s="3">
        <v>110</v>
      </c>
      <c r="G13" s="3">
        <v>0</v>
      </c>
      <c r="H13" s="3">
        <v>0</v>
      </c>
      <c r="I13" s="3">
        <v>1</v>
      </c>
      <c r="J13" s="3">
        <v>15</v>
      </c>
      <c r="K13" s="3">
        <v>41</v>
      </c>
      <c r="L13" s="3">
        <v>55</v>
      </c>
      <c r="M13" s="3">
        <f>(G13*J13)+(H13*K13)+(I13*L13)</f>
        <v>55</v>
      </c>
      <c r="N13" s="20">
        <f>(D13/30)*M13</f>
        <v>55</v>
      </c>
      <c r="O13" s="21">
        <f>N13+((D13/30)*M13)</f>
        <v>110</v>
      </c>
      <c r="P13" s="19">
        <f>N13+E13</f>
        <v>165</v>
      </c>
      <c r="Q13" s="4">
        <v>4992</v>
      </c>
      <c r="R13" s="12">
        <v>2.91</v>
      </c>
      <c r="S13" s="2">
        <v>2204409082</v>
      </c>
      <c r="T13" s="2">
        <v>3268969660</v>
      </c>
    </row>
    <row r="14" spans="1:21" s="5" customFormat="1" ht="11.45" customHeight="1" x14ac:dyDescent="0.2">
      <c r="A14" s="3" t="s">
        <v>217</v>
      </c>
      <c r="B14" s="2" t="s">
        <v>334</v>
      </c>
      <c r="C14" s="8" t="s">
        <v>158</v>
      </c>
      <c r="D14" s="3">
        <v>30</v>
      </c>
      <c r="E14" s="3">
        <v>110</v>
      </c>
      <c r="F14" s="3">
        <v>110</v>
      </c>
      <c r="G14" s="3">
        <v>0</v>
      </c>
      <c r="H14" s="3">
        <v>0</v>
      </c>
      <c r="I14" s="3">
        <v>1</v>
      </c>
      <c r="J14" s="3">
        <v>15</v>
      </c>
      <c r="K14" s="3">
        <v>41</v>
      </c>
      <c r="L14" s="3">
        <v>55</v>
      </c>
      <c r="M14" s="3">
        <f>(G14*J14)+(H14*K14)+(I14*L14)</f>
        <v>55</v>
      </c>
      <c r="N14" s="20">
        <f>(D14/30)*M14</f>
        <v>55</v>
      </c>
      <c r="O14" s="21">
        <f>N14+((D14/30)*M14)</f>
        <v>110</v>
      </c>
      <c r="P14" s="19">
        <f>N14+E14</f>
        <v>165</v>
      </c>
      <c r="Q14" s="4">
        <v>4992</v>
      </c>
      <c r="R14" s="12">
        <v>2.23</v>
      </c>
      <c r="S14" s="2">
        <v>2204409082</v>
      </c>
      <c r="T14" s="2">
        <v>3268969833</v>
      </c>
    </row>
    <row r="15" spans="1:21" s="5" customFormat="1" ht="11.45" customHeight="1" x14ac:dyDescent="0.2">
      <c r="A15" s="3" t="s">
        <v>218</v>
      </c>
      <c r="B15" s="2" t="s">
        <v>55</v>
      </c>
      <c r="C15" s="8" t="s">
        <v>158</v>
      </c>
      <c r="D15" s="3">
        <v>30</v>
      </c>
      <c r="E15" s="3">
        <v>110</v>
      </c>
      <c r="F15" s="3">
        <v>110</v>
      </c>
      <c r="G15" s="3">
        <v>0</v>
      </c>
      <c r="H15" s="3">
        <v>0</v>
      </c>
      <c r="I15" s="3">
        <v>1</v>
      </c>
      <c r="J15" s="3">
        <v>15</v>
      </c>
      <c r="K15" s="3">
        <v>41</v>
      </c>
      <c r="L15" s="3">
        <v>55</v>
      </c>
      <c r="M15" s="3">
        <f>(G15*J15)+(H15*K15)+(I15*L15)</f>
        <v>55</v>
      </c>
      <c r="N15" s="20">
        <f>(D15/30)*M15</f>
        <v>55</v>
      </c>
      <c r="O15" s="21">
        <f>N15+((D15/30)*M15)</f>
        <v>110</v>
      </c>
      <c r="P15" s="19">
        <f>N15+E15</f>
        <v>165</v>
      </c>
      <c r="Q15" s="4">
        <v>4992</v>
      </c>
      <c r="R15" s="12">
        <v>1.03</v>
      </c>
      <c r="S15" s="2">
        <v>2204409082</v>
      </c>
      <c r="T15" s="2">
        <v>3268971851</v>
      </c>
    </row>
    <row r="16" spans="1:21" s="5" customFormat="1" ht="11.45" customHeight="1" x14ac:dyDescent="0.2">
      <c r="A16" s="3" t="s">
        <v>219</v>
      </c>
      <c r="B16" s="2" t="s">
        <v>196</v>
      </c>
      <c r="C16" s="8" t="s">
        <v>158</v>
      </c>
      <c r="D16" s="3">
        <v>30</v>
      </c>
      <c r="E16" s="3">
        <v>110</v>
      </c>
      <c r="F16" s="3">
        <v>110</v>
      </c>
      <c r="G16" s="3">
        <v>0</v>
      </c>
      <c r="H16" s="3">
        <v>0</v>
      </c>
      <c r="I16" s="3">
        <v>1</v>
      </c>
      <c r="J16" s="3">
        <v>15</v>
      </c>
      <c r="K16" s="3">
        <v>41</v>
      </c>
      <c r="L16" s="3">
        <v>55</v>
      </c>
      <c r="M16" s="3">
        <f>(G16*J16)+(H16*K16)+(I16*L16)</f>
        <v>55</v>
      </c>
      <c r="N16" s="20">
        <f>(D16/30)*M16</f>
        <v>55</v>
      </c>
      <c r="O16" s="21">
        <f>N16+((D16/30)*M16)</f>
        <v>110</v>
      </c>
      <c r="P16" s="19">
        <f>N16+E16</f>
        <v>165</v>
      </c>
      <c r="Q16" s="4">
        <v>4992</v>
      </c>
      <c r="R16" s="12">
        <v>3.09</v>
      </c>
      <c r="S16" s="2">
        <v>2204409082</v>
      </c>
      <c r="T16" s="2">
        <v>3268972308</v>
      </c>
    </row>
    <row r="17" spans="1:20" s="5" customFormat="1" ht="11.45" customHeight="1" x14ac:dyDescent="0.2">
      <c r="A17" s="3" t="s">
        <v>220</v>
      </c>
      <c r="B17" s="2" t="s">
        <v>319</v>
      </c>
      <c r="C17" s="8" t="s">
        <v>158</v>
      </c>
      <c r="D17" s="3">
        <v>30</v>
      </c>
      <c r="E17" s="3">
        <v>110</v>
      </c>
      <c r="F17" s="3">
        <v>110</v>
      </c>
      <c r="G17" s="3">
        <v>0</v>
      </c>
      <c r="H17" s="3">
        <v>0</v>
      </c>
      <c r="I17" s="3">
        <v>1</v>
      </c>
      <c r="J17" s="3">
        <v>15</v>
      </c>
      <c r="K17" s="3">
        <v>41</v>
      </c>
      <c r="L17" s="3">
        <v>55</v>
      </c>
      <c r="M17" s="3">
        <f>(G17*J17)+(H17*K17)+(I17*L17)</f>
        <v>55</v>
      </c>
      <c r="N17" s="20">
        <f>(D17/30)*M17</f>
        <v>55</v>
      </c>
      <c r="O17" s="21">
        <f>N17+((D17/30)*M17)</f>
        <v>110</v>
      </c>
      <c r="P17" s="19">
        <f>N17+E17</f>
        <v>165</v>
      </c>
      <c r="Q17" s="4">
        <v>4992</v>
      </c>
      <c r="R17" s="12">
        <v>1.72</v>
      </c>
      <c r="S17" s="2">
        <v>2204409082</v>
      </c>
      <c r="T17" s="2">
        <v>3268977614</v>
      </c>
    </row>
    <row r="18" spans="1:20" s="5" customFormat="1" ht="11.45" customHeight="1" x14ac:dyDescent="0.2">
      <c r="A18" s="3" t="s">
        <v>221</v>
      </c>
      <c r="B18" s="2" t="s">
        <v>321</v>
      </c>
      <c r="C18" s="8" t="s">
        <v>158</v>
      </c>
      <c r="D18" s="3">
        <v>30</v>
      </c>
      <c r="E18" s="3">
        <v>90</v>
      </c>
      <c r="F18" s="3">
        <v>90</v>
      </c>
      <c r="G18" s="3">
        <v>0</v>
      </c>
      <c r="H18" s="3">
        <v>1</v>
      </c>
      <c r="I18" s="3">
        <v>0</v>
      </c>
      <c r="J18" s="3">
        <v>15</v>
      </c>
      <c r="K18" s="3">
        <v>41</v>
      </c>
      <c r="L18" s="3">
        <v>55</v>
      </c>
      <c r="M18" s="3">
        <f>(G18*J18)+(H18*K18)+(I18*L18)</f>
        <v>41</v>
      </c>
      <c r="N18" s="20">
        <f>(D18/30)*M18</f>
        <v>41</v>
      </c>
      <c r="O18" s="21">
        <f>N18+((D18/30)*M18)</f>
        <v>82</v>
      </c>
      <c r="P18" s="19">
        <f>N18+E18</f>
        <v>131</v>
      </c>
      <c r="Q18" s="4">
        <v>5000</v>
      </c>
      <c r="R18" s="12">
        <v>7.99</v>
      </c>
      <c r="S18" s="2">
        <v>2204409082</v>
      </c>
      <c r="T18" s="2">
        <v>2224925695</v>
      </c>
    </row>
    <row r="19" spans="1:20" s="5" customFormat="1" ht="11.45" customHeight="1" x14ac:dyDescent="0.2">
      <c r="A19" s="3" t="s">
        <v>222</v>
      </c>
      <c r="B19" s="2" t="s">
        <v>322</v>
      </c>
      <c r="C19" s="8" t="s">
        <v>158</v>
      </c>
      <c r="D19" s="3">
        <v>30</v>
      </c>
      <c r="E19" s="3">
        <v>90</v>
      </c>
      <c r="F19" s="3">
        <v>90</v>
      </c>
      <c r="G19" s="3">
        <v>0</v>
      </c>
      <c r="H19" s="3">
        <v>1</v>
      </c>
      <c r="I19" s="3">
        <v>0</v>
      </c>
      <c r="J19" s="3">
        <v>15</v>
      </c>
      <c r="K19" s="3">
        <v>41</v>
      </c>
      <c r="L19" s="3">
        <v>55</v>
      </c>
      <c r="M19" s="3">
        <f>(G19*J19)+(H19*K19)+(I19*L19)</f>
        <v>41</v>
      </c>
      <c r="N19" s="20">
        <f>(D19/30)*M19</f>
        <v>41</v>
      </c>
      <c r="O19" s="21">
        <f>N19+((D19/30)*M19)</f>
        <v>82</v>
      </c>
      <c r="P19" s="19">
        <f>N19+E19</f>
        <v>131</v>
      </c>
      <c r="Q19" s="4">
        <v>5000</v>
      </c>
      <c r="R19" s="12">
        <v>10.43</v>
      </c>
      <c r="S19" s="2">
        <v>2204409082</v>
      </c>
      <c r="T19" s="2">
        <v>3268870437</v>
      </c>
    </row>
    <row r="20" spans="1:20" s="5" customFormat="1" ht="11.45" customHeight="1" x14ac:dyDescent="0.2">
      <c r="A20" s="3" t="s">
        <v>223</v>
      </c>
      <c r="B20" s="2" t="s">
        <v>324</v>
      </c>
      <c r="C20" s="8" t="s">
        <v>158</v>
      </c>
      <c r="D20" s="3">
        <v>30</v>
      </c>
      <c r="E20" s="3">
        <v>90</v>
      </c>
      <c r="F20" s="3">
        <v>90</v>
      </c>
      <c r="G20" s="3">
        <v>0</v>
      </c>
      <c r="H20" s="3">
        <v>1</v>
      </c>
      <c r="I20" s="3">
        <v>0</v>
      </c>
      <c r="J20" s="3">
        <v>15</v>
      </c>
      <c r="K20" s="3">
        <v>41</v>
      </c>
      <c r="L20" s="3">
        <v>55</v>
      </c>
      <c r="M20" s="3">
        <f>(G20*J20)+(H20*K20)+(I20*L20)</f>
        <v>41</v>
      </c>
      <c r="N20" s="20">
        <f>(D20/30)*M20</f>
        <v>41</v>
      </c>
      <c r="O20" s="21">
        <f>N20+((D20/30)*M20)</f>
        <v>82</v>
      </c>
      <c r="P20" s="19">
        <f>N20+E20</f>
        <v>131</v>
      </c>
      <c r="Q20" s="4">
        <v>5000</v>
      </c>
      <c r="R20" s="12">
        <v>37.11</v>
      </c>
      <c r="S20" s="2">
        <v>2204409082</v>
      </c>
      <c r="T20" s="2">
        <v>3268882683</v>
      </c>
    </row>
    <row r="21" spans="1:20" s="5" customFormat="1" ht="11.45" customHeight="1" x14ac:dyDescent="0.2">
      <c r="A21" s="3" t="s">
        <v>224</v>
      </c>
      <c r="B21" s="2" t="s">
        <v>323</v>
      </c>
      <c r="C21" s="8" t="s">
        <v>158</v>
      </c>
      <c r="D21" s="3">
        <v>30</v>
      </c>
      <c r="E21" s="3">
        <v>90</v>
      </c>
      <c r="F21" s="3">
        <v>90</v>
      </c>
      <c r="G21" s="3">
        <v>0</v>
      </c>
      <c r="H21" s="3">
        <v>1</v>
      </c>
      <c r="I21" s="3">
        <v>0</v>
      </c>
      <c r="J21" s="3">
        <v>15</v>
      </c>
      <c r="K21" s="3">
        <v>41</v>
      </c>
      <c r="L21" s="3">
        <v>55</v>
      </c>
      <c r="M21" s="3">
        <f>(G21*J21)+(H21*K21)+(I21*L21)</f>
        <v>41</v>
      </c>
      <c r="N21" s="20">
        <f>(D21/30)*M21</f>
        <v>41</v>
      </c>
      <c r="O21" s="21">
        <f>N21+((D21/30)*M21)</f>
        <v>82</v>
      </c>
      <c r="P21" s="19">
        <f>N21+E21</f>
        <v>131</v>
      </c>
      <c r="Q21" s="4">
        <v>5000</v>
      </c>
      <c r="R21" s="12">
        <v>48.25</v>
      </c>
      <c r="S21" s="2">
        <v>2204409082</v>
      </c>
      <c r="T21" s="2">
        <v>3268870713</v>
      </c>
    </row>
    <row r="22" spans="1:20" s="5" customFormat="1" ht="11.45" customHeight="1" x14ac:dyDescent="0.2">
      <c r="A22" s="3" t="s">
        <v>225</v>
      </c>
      <c r="B22" s="2" t="s">
        <v>3</v>
      </c>
      <c r="C22" s="8" t="s">
        <v>158</v>
      </c>
      <c r="D22" s="3">
        <v>30</v>
      </c>
      <c r="E22" s="3">
        <v>90</v>
      </c>
      <c r="F22" s="3">
        <v>90</v>
      </c>
      <c r="G22" s="3">
        <v>0</v>
      </c>
      <c r="H22" s="3">
        <v>1</v>
      </c>
      <c r="I22" s="3">
        <v>0</v>
      </c>
      <c r="J22" s="3">
        <v>15</v>
      </c>
      <c r="K22" s="3">
        <v>41</v>
      </c>
      <c r="L22" s="3">
        <v>55</v>
      </c>
      <c r="M22" s="3">
        <f>(G22*J22)+(H22*K22)+(I22*L22)</f>
        <v>41</v>
      </c>
      <c r="N22" s="20">
        <f>(D22/30)*M22</f>
        <v>41</v>
      </c>
      <c r="O22" s="21">
        <f>N22+((D22/30)*M22)</f>
        <v>82</v>
      </c>
      <c r="P22" s="19">
        <f>N22+E22</f>
        <v>131</v>
      </c>
      <c r="Q22" s="4">
        <v>5000</v>
      </c>
      <c r="R22" s="12">
        <v>2.39</v>
      </c>
      <c r="S22" s="2">
        <v>2204409082</v>
      </c>
      <c r="T22" s="2">
        <v>3268883011</v>
      </c>
    </row>
    <row r="23" spans="1:20" s="5" customFormat="1" ht="11.45" customHeight="1" x14ac:dyDescent="0.2">
      <c r="A23" s="3" t="s">
        <v>226</v>
      </c>
      <c r="B23" s="2" t="s">
        <v>320</v>
      </c>
      <c r="C23" s="8" t="s">
        <v>158</v>
      </c>
      <c r="D23" s="3">
        <v>30</v>
      </c>
      <c r="E23" s="3">
        <v>90</v>
      </c>
      <c r="F23" s="3">
        <v>90</v>
      </c>
      <c r="G23" s="3">
        <v>0</v>
      </c>
      <c r="H23" s="3">
        <v>1</v>
      </c>
      <c r="I23" s="3">
        <v>0</v>
      </c>
      <c r="J23" s="3">
        <v>15</v>
      </c>
      <c r="K23" s="3">
        <v>41</v>
      </c>
      <c r="L23" s="3">
        <v>55</v>
      </c>
      <c r="M23" s="3">
        <f>(G23*J23)+(H23*K23)+(I23*L23)</f>
        <v>41</v>
      </c>
      <c r="N23" s="20">
        <f>(D23/30)*M23</f>
        <v>41</v>
      </c>
      <c r="O23" s="21">
        <f>N23+((D23/30)*M23)</f>
        <v>82</v>
      </c>
      <c r="P23" s="19">
        <f>N23+E23</f>
        <v>131</v>
      </c>
      <c r="Q23" s="4">
        <v>5000</v>
      </c>
      <c r="R23" s="12">
        <v>2.68</v>
      </c>
      <c r="S23" s="2">
        <v>2204409082</v>
      </c>
      <c r="T23" s="2">
        <v>3268883910</v>
      </c>
    </row>
    <row r="24" spans="1:20" s="5" customFormat="1" ht="11.45" customHeight="1" x14ac:dyDescent="0.2">
      <c r="A24" s="3" t="s">
        <v>227</v>
      </c>
      <c r="B24" s="2" t="s">
        <v>10</v>
      </c>
      <c r="C24" s="8" t="s">
        <v>158</v>
      </c>
      <c r="D24" s="3">
        <v>30</v>
      </c>
      <c r="E24" s="3">
        <v>170</v>
      </c>
      <c r="F24" s="3">
        <v>170</v>
      </c>
      <c r="G24" s="3">
        <v>0</v>
      </c>
      <c r="H24" s="3">
        <v>2</v>
      </c>
      <c r="I24" s="3">
        <v>0</v>
      </c>
      <c r="J24" s="3">
        <v>15</v>
      </c>
      <c r="K24" s="3">
        <v>41</v>
      </c>
      <c r="L24" s="3">
        <v>55</v>
      </c>
      <c r="M24" s="3">
        <f>(G24*J24)+(H24*K24)+(I24*L24)</f>
        <v>82</v>
      </c>
      <c r="N24" s="20">
        <f>(D24/30)*M24</f>
        <v>82</v>
      </c>
      <c r="O24" s="21">
        <f>N24+((D24/30)*M24)</f>
        <v>164</v>
      </c>
      <c r="P24" s="19">
        <f>N24+E24</f>
        <v>252</v>
      </c>
      <c r="Q24" s="4">
        <v>5000</v>
      </c>
      <c r="R24" s="12">
        <v>1.21</v>
      </c>
      <c r="S24" s="2">
        <v>2204409082</v>
      </c>
      <c r="T24" s="2">
        <v>3268904557</v>
      </c>
    </row>
    <row r="25" spans="1:20" s="5" customFormat="1" ht="11.45" customHeight="1" x14ac:dyDescent="0.2">
      <c r="A25" s="3" t="s">
        <v>228</v>
      </c>
      <c r="B25" s="2" t="s">
        <v>4</v>
      </c>
      <c r="C25" s="8" t="s">
        <v>158</v>
      </c>
      <c r="D25" s="3">
        <v>30</v>
      </c>
      <c r="E25" s="3">
        <v>90</v>
      </c>
      <c r="F25" s="3">
        <v>90</v>
      </c>
      <c r="G25" s="3">
        <v>0</v>
      </c>
      <c r="H25" s="3">
        <v>1</v>
      </c>
      <c r="I25" s="3">
        <v>0</v>
      </c>
      <c r="J25" s="3">
        <v>15</v>
      </c>
      <c r="K25" s="3">
        <v>41</v>
      </c>
      <c r="L25" s="3">
        <v>55</v>
      </c>
      <c r="M25" s="3">
        <f>(G25*J25)+(H25*K25)+(I25*L25)</f>
        <v>41</v>
      </c>
      <c r="N25" s="20">
        <f>(D25/30)*M25</f>
        <v>41</v>
      </c>
      <c r="O25" s="21">
        <f>N25+((D25/30)*M25)</f>
        <v>82</v>
      </c>
      <c r="P25" s="19">
        <f>N25+E25</f>
        <v>131</v>
      </c>
      <c r="Q25" s="4">
        <v>5000</v>
      </c>
      <c r="R25" s="12">
        <v>1.64</v>
      </c>
      <c r="S25" s="2">
        <v>2204409082</v>
      </c>
      <c r="T25" s="2">
        <v>3268904823</v>
      </c>
    </row>
    <row r="26" spans="1:20" s="5" customFormat="1" ht="11.45" customHeight="1" x14ac:dyDescent="0.2">
      <c r="A26" s="3" t="s">
        <v>229</v>
      </c>
      <c r="B26" s="2" t="s">
        <v>5</v>
      </c>
      <c r="C26" s="8" t="s">
        <v>158</v>
      </c>
      <c r="D26" s="3">
        <v>30</v>
      </c>
      <c r="E26" s="3">
        <v>90</v>
      </c>
      <c r="F26" s="3">
        <v>90</v>
      </c>
      <c r="G26" s="3">
        <v>0</v>
      </c>
      <c r="H26" s="3">
        <v>1</v>
      </c>
      <c r="I26" s="3">
        <v>0</v>
      </c>
      <c r="J26" s="3">
        <v>15</v>
      </c>
      <c r="K26" s="3">
        <v>41</v>
      </c>
      <c r="L26" s="3">
        <v>55</v>
      </c>
      <c r="M26" s="3">
        <f>(G26*J26)+(H26*K26)+(I26*L26)</f>
        <v>41</v>
      </c>
      <c r="N26" s="20">
        <f>(D26/30)*M26</f>
        <v>41</v>
      </c>
      <c r="O26" s="21">
        <f>N26+((D26/30)*M26)</f>
        <v>82</v>
      </c>
      <c r="P26" s="19">
        <f>N26+E26</f>
        <v>131</v>
      </c>
      <c r="Q26" s="4">
        <v>5000</v>
      </c>
      <c r="R26" s="12">
        <v>2.37</v>
      </c>
      <c r="S26" s="2">
        <v>2204409082</v>
      </c>
      <c r="T26" s="2">
        <v>3268933847</v>
      </c>
    </row>
    <row r="27" spans="1:20" s="5" customFormat="1" ht="11.45" customHeight="1" x14ac:dyDescent="0.2">
      <c r="A27" s="3" t="s">
        <v>230</v>
      </c>
      <c r="B27" s="2" t="s">
        <v>6</v>
      </c>
      <c r="C27" s="8" t="s">
        <v>158</v>
      </c>
      <c r="D27" s="3">
        <v>30</v>
      </c>
      <c r="E27" s="3">
        <v>90</v>
      </c>
      <c r="F27" s="3">
        <v>90</v>
      </c>
      <c r="G27" s="3">
        <v>0</v>
      </c>
      <c r="H27" s="3">
        <v>1</v>
      </c>
      <c r="I27" s="3">
        <v>0</v>
      </c>
      <c r="J27" s="3">
        <v>15</v>
      </c>
      <c r="K27" s="3">
        <v>41</v>
      </c>
      <c r="L27" s="3">
        <v>55</v>
      </c>
      <c r="M27" s="3">
        <f>(G27*J27)+(H27*K27)+(I27*L27)</f>
        <v>41</v>
      </c>
      <c r="N27" s="20">
        <f>(D27/30)*M27</f>
        <v>41</v>
      </c>
      <c r="O27" s="21">
        <f>N27+((D27/30)*M27)</f>
        <v>82</v>
      </c>
      <c r="P27" s="19">
        <f>N27+E27</f>
        <v>131</v>
      </c>
      <c r="Q27" s="4">
        <v>5000</v>
      </c>
      <c r="R27" s="12">
        <v>1.82</v>
      </c>
      <c r="S27" s="2">
        <v>2204409082</v>
      </c>
      <c r="T27" s="2">
        <v>3268934062</v>
      </c>
    </row>
    <row r="28" spans="1:20" s="5" customFormat="1" ht="11.45" customHeight="1" x14ac:dyDescent="0.2">
      <c r="A28" s="3" t="s">
        <v>231</v>
      </c>
      <c r="B28" s="2" t="s">
        <v>25</v>
      </c>
      <c r="C28" s="8" t="s">
        <v>158</v>
      </c>
      <c r="D28" s="3">
        <v>30</v>
      </c>
      <c r="E28" s="3">
        <v>180</v>
      </c>
      <c r="F28" s="3">
        <v>180</v>
      </c>
      <c r="G28" s="3">
        <v>0</v>
      </c>
      <c r="H28" s="3">
        <v>2</v>
      </c>
      <c r="I28" s="3">
        <v>0</v>
      </c>
      <c r="J28" s="3">
        <v>15</v>
      </c>
      <c r="K28" s="3">
        <v>41</v>
      </c>
      <c r="L28" s="3">
        <v>55</v>
      </c>
      <c r="M28" s="3">
        <f>(G28*J28)+(H28*K28)+(I28*L28)</f>
        <v>82</v>
      </c>
      <c r="N28" s="20">
        <f>(D28/30)*M28</f>
        <v>82</v>
      </c>
      <c r="O28" s="21">
        <f>N28+((D28/30)*M28)</f>
        <v>164</v>
      </c>
      <c r="P28" s="19">
        <f>N28+E28</f>
        <v>262</v>
      </c>
      <c r="Q28" s="4">
        <v>5000</v>
      </c>
      <c r="R28" s="12">
        <v>2.78</v>
      </c>
      <c r="S28" s="2">
        <v>2204409082</v>
      </c>
      <c r="T28" s="2">
        <v>3268934222</v>
      </c>
    </row>
    <row r="29" spans="1:20" s="5" customFormat="1" ht="11.45" customHeight="1" x14ac:dyDescent="0.2">
      <c r="A29" s="3" t="s">
        <v>232</v>
      </c>
      <c r="B29" s="2" t="s">
        <v>19</v>
      </c>
      <c r="C29" s="8" t="s">
        <v>158</v>
      </c>
      <c r="D29" s="3">
        <v>30</v>
      </c>
      <c r="E29" s="3">
        <v>350</v>
      </c>
      <c r="F29" s="3">
        <v>1000</v>
      </c>
      <c r="G29" s="3">
        <v>0</v>
      </c>
      <c r="H29" s="3">
        <v>4</v>
      </c>
      <c r="I29" s="3">
        <v>4</v>
      </c>
      <c r="J29" s="3">
        <v>15</v>
      </c>
      <c r="K29" s="3">
        <v>41</v>
      </c>
      <c r="L29" s="3">
        <v>55</v>
      </c>
      <c r="M29" s="3">
        <f>(G29*J29)+(H29*K29)+(I29*L29)</f>
        <v>384</v>
      </c>
      <c r="N29" s="20">
        <f>(D29/30)*M29</f>
        <v>384</v>
      </c>
      <c r="O29" s="21">
        <f>N29+((D29/30)*M29)</f>
        <v>768</v>
      </c>
      <c r="P29" s="19">
        <f>N29+E29</f>
        <v>734</v>
      </c>
      <c r="Q29" s="4">
        <v>4968</v>
      </c>
      <c r="R29" s="12">
        <v>2.15</v>
      </c>
      <c r="S29" s="2">
        <v>2204409082</v>
      </c>
      <c r="T29" s="2">
        <v>3268955471</v>
      </c>
    </row>
    <row r="30" spans="1:20" s="5" customFormat="1" ht="11.45" customHeight="1" x14ac:dyDescent="0.2">
      <c r="A30" s="3" t="s">
        <v>233</v>
      </c>
      <c r="B30" s="2" t="s">
        <v>20</v>
      </c>
      <c r="C30" s="8" t="s">
        <v>158</v>
      </c>
      <c r="D30" s="3">
        <v>30</v>
      </c>
      <c r="E30" s="3">
        <v>90</v>
      </c>
      <c r="F30" s="3">
        <v>90</v>
      </c>
      <c r="G30" s="3">
        <v>0</v>
      </c>
      <c r="H30" s="3">
        <v>1</v>
      </c>
      <c r="I30" s="3">
        <v>0</v>
      </c>
      <c r="J30" s="3">
        <v>15</v>
      </c>
      <c r="K30" s="3">
        <v>41</v>
      </c>
      <c r="L30" s="3">
        <v>55</v>
      </c>
      <c r="M30" s="3">
        <f>(G30*J30)+(H30*K30)+(I30*L30)</f>
        <v>41</v>
      </c>
      <c r="N30" s="20">
        <f>(D30/30)*M30</f>
        <v>41</v>
      </c>
      <c r="O30" s="21">
        <f>N30+((D30/30)*M30)</f>
        <v>82</v>
      </c>
      <c r="P30" s="19">
        <f>N30+E30</f>
        <v>131</v>
      </c>
      <c r="Q30" s="4">
        <v>5000</v>
      </c>
      <c r="R30" s="12">
        <v>2.7</v>
      </c>
      <c r="S30" s="2">
        <v>2204409082</v>
      </c>
      <c r="T30" s="2">
        <v>3268936298</v>
      </c>
    </row>
    <row r="31" spans="1:20" s="5" customFormat="1" ht="11.45" customHeight="1" x14ac:dyDescent="0.2">
      <c r="A31" s="3" t="s">
        <v>234</v>
      </c>
      <c r="B31" s="2" t="s">
        <v>9</v>
      </c>
      <c r="C31" s="8" t="s">
        <v>158</v>
      </c>
      <c r="D31" s="3">
        <v>30</v>
      </c>
      <c r="E31" s="3">
        <v>200</v>
      </c>
      <c r="F31" s="3">
        <v>200</v>
      </c>
      <c r="G31" s="3">
        <v>0</v>
      </c>
      <c r="H31" s="3">
        <v>1</v>
      </c>
      <c r="I31" s="3">
        <v>1</v>
      </c>
      <c r="J31" s="3">
        <v>15</v>
      </c>
      <c r="K31" s="3">
        <v>41</v>
      </c>
      <c r="L31" s="3">
        <v>55</v>
      </c>
      <c r="M31" s="3">
        <f>(G31*J31)+(H31*K31)+(I31*L31)</f>
        <v>96</v>
      </c>
      <c r="N31" s="20">
        <f>(D31/30)*M31</f>
        <v>96</v>
      </c>
      <c r="O31" s="21">
        <f>N31+((D31/30)*M31)</f>
        <v>192</v>
      </c>
      <c r="P31" s="19">
        <f>N31+E31</f>
        <v>296</v>
      </c>
      <c r="Q31" s="4">
        <v>4992</v>
      </c>
      <c r="R31" s="12">
        <v>2.66</v>
      </c>
      <c r="S31" s="2">
        <v>2204409082</v>
      </c>
      <c r="T31" s="2">
        <v>3268953450</v>
      </c>
    </row>
    <row r="32" spans="1:20" s="5" customFormat="1" ht="11.45" customHeight="1" x14ac:dyDescent="0.2">
      <c r="A32" s="3" t="s">
        <v>235</v>
      </c>
      <c r="B32" s="2" t="s">
        <v>18</v>
      </c>
      <c r="C32" s="8" t="s">
        <v>158</v>
      </c>
      <c r="D32" s="3">
        <v>30</v>
      </c>
      <c r="E32" s="3">
        <v>90</v>
      </c>
      <c r="F32" s="3">
        <v>90</v>
      </c>
      <c r="G32" s="3">
        <v>0</v>
      </c>
      <c r="H32" s="3">
        <v>1</v>
      </c>
      <c r="I32" s="3">
        <v>0</v>
      </c>
      <c r="J32" s="3">
        <v>15</v>
      </c>
      <c r="K32" s="3">
        <v>41</v>
      </c>
      <c r="L32" s="3">
        <v>55</v>
      </c>
      <c r="M32" s="3">
        <f>(G32*J32)+(H32*K32)+(I32*L32)</f>
        <v>41</v>
      </c>
      <c r="N32" s="20">
        <f>(D32/30)*M32</f>
        <v>41</v>
      </c>
      <c r="O32" s="21">
        <f>N32+((D32/30)*M32)</f>
        <v>82</v>
      </c>
      <c r="P32" s="19">
        <f>N32+E32</f>
        <v>131</v>
      </c>
      <c r="Q32" s="4">
        <v>5000</v>
      </c>
      <c r="R32" s="12">
        <v>0.83</v>
      </c>
      <c r="S32" s="2">
        <v>2204409082</v>
      </c>
      <c r="T32" s="2">
        <v>3268936488</v>
      </c>
    </row>
    <row r="33" spans="1:20" s="5" customFormat="1" ht="11.45" customHeight="1" x14ac:dyDescent="0.2">
      <c r="A33" s="3" t="s">
        <v>236</v>
      </c>
      <c r="B33" s="2" t="s">
        <v>325</v>
      </c>
      <c r="C33" s="8" t="s">
        <v>158</v>
      </c>
      <c r="D33" s="3">
        <v>30</v>
      </c>
      <c r="E33" s="3">
        <v>200</v>
      </c>
      <c r="F33" s="3">
        <v>200</v>
      </c>
      <c r="G33" s="3">
        <v>0</v>
      </c>
      <c r="H33" s="3">
        <v>1</v>
      </c>
      <c r="I33" s="3">
        <v>1</v>
      </c>
      <c r="J33" s="3">
        <v>15</v>
      </c>
      <c r="K33" s="3">
        <v>41</v>
      </c>
      <c r="L33" s="3">
        <v>55</v>
      </c>
      <c r="M33" s="3">
        <f>(G33*J33)+(H33*K33)+(I33*L33)</f>
        <v>96</v>
      </c>
      <c r="N33" s="20">
        <f>(D33/30)*M33</f>
        <v>96</v>
      </c>
      <c r="O33" s="21">
        <f>N33+((D33/30)*M33)</f>
        <v>192</v>
      </c>
      <c r="P33" s="19">
        <f>N33+E33</f>
        <v>296</v>
      </c>
      <c r="Q33" s="4">
        <v>4992</v>
      </c>
      <c r="R33" s="12">
        <v>35.409999999999997</v>
      </c>
      <c r="S33" s="2">
        <v>2204409082</v>
      </c>
      <c r="T33" s="2">
        <v>3268955618</v>
      </c>
    </row>
    <row r="34" spans="1:20" s="5" customFormat="1" ht="11.45" customHeight="1" x14ac:dyDescent="0.2">
      <c r="A34" s="3" t="s">
        <v>237</v>
      </c>
      <c r="B34" s="2" t="s">
        <v>12</v>
      </c>
      <c r="C34" s="8" t="s">
        <v>158</v>
      </c>
      <c r="D34" s="3">
        <v>30</v>
      </c>
      <c r="E34" s="3">
        <v>200</v>
      </c>
      <c r="F34" s="3">
        <v>200</v>
      </c>
      <c r="G34" s="3">
        <v>0</v>
      </c>
      <c r="H34" s="3">
        <v>1</v>
      </c>
      <c r="I34" s="3">
        <v>1</v>
      </c>
      <c r="J34" s="3">
        <v>15</v>
      </c>
      <c r="K34" s="3">
        <v>41</v>
      </c>
      <c r="L34" s="3">
        <v>55</v>
      </c>
      <c r="M34" s="3">
        <f>(G34*J34)+(H34*K34)+(I34*L34)</f>
        <v>96</v>
      </c>
      <c r="N34" s="20">
        <f>(D34/30)*M34</f>
        <v>96</v>
      </c>
      <c r="O34" s="21">
        <f>N34+((D34/30)*M34)</f>
        <v>192</v>
      </c>
      <c r="P34" s="19">
        <f>N34+E34</f>
        <v>296</v>
      </c>
      <c r="Q34" s="4">
        <v>4992</v>
      </c>
      <c r="R34" s="12">
        <v>7.5</v>
      </c>
      <c r="S34" s="2">
        <v>2204409082</v>
      </c>
      <c r="T34" s="2">
        <v>3268955755</v>
      </c>
    </row>
    <row r="35" spans="1:20" s="5" customFormat="1" ht="11.45" customHeight="1" x14ac:dyDescent="0.2">
      <c r="A35" s="3" t="s">
        <v>238</v>
      </c>
      <c r="B35" s="2" t="s">
        <v>326</v>
      </c>
      <c r="C35" s="8" t="s">
        <v>158</v>
      </c>
      <c r="D35" s="3">
        <v>30</v>
      </c>
      <c r="E35" s="3">
        <v>200</v>
      </c>
      <c r="F35" s="3">
        <v>200</v>
      </c>
      <c r="G35" s="3">
        <v>0</v>
      </c>
      <c r="H35" s="3">
        <v>1</v>
      </c>
      <c r="I35" s="3">
        <v>1</v>
      </c>
      <c r="J35" s="3">
        <v>15</v>
      </c>
      <c r="K35" s="3">
        <v>41</v>
      </c>
      <c r="L35" s="3">
        <v>55</v>
      </c>
      <c r="M35" s="3">
        <f>(G35*J35)+(H35*K35)+(I35*L35)</f>
        <v>96</v>
      </c>
      <c r="N35" s="20">
        <f>(D35/30)*M35</f>
        <v>96</v>
      </c>
      <c r="O35" s="21">
        <f>N35+((D35/30)*M35)</f>
        <v>192</v>
      </c>
      <c r="P35" s="19">
        <f>N35+E35</f>
        <v>296</v>
      </c>
      <c r="Q35" s="4">
        <v>4992</v>
      </c>
      <c r="R35" s="12">
        <v>54.3</v>
      </c>
      <c r="S35" s="2">
        <v>2204409082</v>
      </c>
      <c r="T35" s="2">
        <v>3268955908</v>
      </c>
    </row>
    <row r="36" spans="1:20" s="5" customFormat="1" ht="11.45" customHeight="1" x14ac:dyDescent="0.2">
      <c r="A36" s="3" t="s">
        <v>239</v>
      </c>
      <c r="B36" s="2" t="s">
        <v>15</v>
      </c>
      <c r="C36" s="8" t="s">
        <v>158</v>
      </c>
      <c r="D36" s="3">
        <v>30</v>
      </c>
      <c r="E36" s="3">
        <v>200</v>
      </c>
      <c r="F36" s="3">
        <v>200</v>
      </c>
      <c r="G36" s="3">
        <v>0</v>
      </c>
      <c r="H36" s="3">
        <v>1</v>
      </c>
      <c r="I36" s="3">
        <v>1</v>
      </c>
      <c r="J36" s="3">
        <v>15</v>
      </c>
      <c r="K36" s="3">
        <v>41</v>
      </c>
      <c r="L36" s="3">
        <v>55</v>
      </c>
      <c r="M36" s="3">
        <f>(G36*J36)+(H36*K36)+(I36*L36)</f>
        <v>96</v>
      </c>
      <c r="N36" s="20">
        <f>(D36/30)*M36</f>
        <v>96</v>
      </c>
      <c r="O36" s="21">
        <f>N36+((D36/30)*M36)</f>
        <v>192</v>
      </c>
      <c r="P36" s="19">
        <f>N36+E36</f>
        <v>296</v>
      </c>
      <c r="Q36" s="4">
        <v>4992</v>
      </c>
      <c r="R36" s="12">
        <v>13.83</v>
      </c>
      <c r="S36" s="2">
        <v>2204409082</v>
      </c>
      <c r="T36" s="2">
        <v>3268956087</v>
      </c>
    </row>
    <row r="37" spans="1:20" s="5" customFormat="1" ht="11.45" customHeight="1" x14ac:dyDescent="0.2">
      <c r="A37" s="3" t="s">
        <v>240</v>
      </c>
      <c r="B37" s="2" t="s">
        <v>13</v>
      </c>
      <c r="C37" s="8" t="s">
        <v>158</v>
      </c>
      <c r="D37" s="3">
        <v>30</v>
      </c>
      <c r="E37" s="3">
        <v>200</v>
      </c>
      <c r="F37" s="3">
        <v>200</v>
      </c>
      <c r="G37" s="3">
        <v>0</v>
      </c>
      <c r="H37" s="3">
        <v>1</v>
      </c>
      <c r="I37" s="3">
        <v>1</v>
      </c>
      <c r="J37" s="3">
        <v>15</v>
      </c>
      <c r="K37" s="3">
        <v>41</v>
      </c>
      <c r="L37" s="3">
        <v>55</v>
      </c>
      <c r="M37" s="3">
        <f>(G37*J37)+(H37*K37)+(I37*L37)</f>
        <v>96</v>
      </c>
      <c r="N37" s="20">
        <f>(D37/30)*M37</f>
        <v>96</v>
      </c>
      <c r="O37" s="21">
        <f>N37+((D37/30)*M37)</f>
        <v>192</v>
      </c>
      <c r="P37" s="19">
        <f>N37+E37</f>
        <v>296</v>
      </c>
      <c r="Q37" s="4">
        <v>4992</v>
      </c>
      <c r="R37" s="12">
        <v>9.2200000000000006</v>
      </c>
      <c r="S37" s="2">
        <v>2204409082</v>
      </c>
      <c r="T37" s="2">
        <v>3268956392</v>
      </c>
    </row>
    <row r="38" spans="1:20" s="5" customFormat="1" ht="11.45" customHeight="1" x14ac:dyDescent="0.2">
      <c r="A38" s="3" t="s">
        <v>241</v>
      </c>
      <c r="B38" s="2" t="s">
        <v>14</v>
      </c>
      <c r="C38" s="8" t="s">
        <v>158</v>
      </c>
      <c r="D38" s="3">
        <v>30</v>
      </c>
      <c r="E38" s="3">
        <v>200</v>
      </c>
      <c r="F38" s="3">
        <v>200</v>
      </c>
      <c r="G38" s="3">
        <v>0</v>
      </c>
      <c r="H38" s="3">
        <v>1</v>
      </c>
      <c r="I38" s="3">
        <v>1</v>
      </c>
      <c r="J38" s="3">
        <v>15</v>
      </c>
      <c r="K38" s="3">
        <v>41</v>
      </c>
      <c r="L38" s="3">
        <v>55</v>
      </c>
      <c r="M38" s="3">
        <f>(G38*J38)+(H38*K38)+(I38*L38)</f>
        <v>96</v>
      </c>
      <c r="N38" s="20">
        <f>(D38/30)*M38</f>
        <v>96</v>
      </c>
      <c r="O38" s="21">
        <f>N38+((D38/30)*M38)</f>
        <v>192</v>
      </c>
      <c r="P38" s="19">
        <f>N38+E38</f>
        <v>296</v>
      </c>
      <c r="Q38" s="4">
        <v>4992</v>
      </c>
      <c r="R38" s="12">
        <v>2.77</v>
      </c>
      <c r="S38" s="2">
        <v>2204409082</v>
      </c>
      <c r="T38" s="2">
        <v>3268956794</v>
      </c>
    </row>
    <row r="39" spans="1:20" s="5" customFormat="1" ht="11.45" customHeight="1" x14ac:dyDescent="0.2">
      <c r="A39" s="3" t="s">
        <v>242</v>
      </c>
      <c r="B39" s="2" t="s">
        <v>16</v>
      </c>
      <c r="C39" s="8" t="s">
        <v>158</v>
      </c>
      <c r="D39" s="3">
        <v>30</v>
      </c>
      <c r="E39" s="3">
        <v>200</v>
      </c>
      <c r="F39" s="3">
        <v>200</v>
      </c>
      <c r="G39" s="3">
        <v>0</v>
      </c>
      <c r="H39" s="3">
        <v>1</v>
      </c>
      <c r="I39" s="3">
        <v>1</v>
      </c>
      <c r="J39" s="3">
        <v>15</v>
      </c>
      <c r="K39" s="3">
        <v>41</v>
      </c>
      <c r="L39" s="3">
        <v>55</v>
      </c>
      <c r="M39" s="3">
        <f>(G39*J39)+(H39*K39)+(I39*L39)</f>
        <v>96</v>
      </c>
      <c r="N39" s="20">
        <f>(D39/30)*M39</f>
        <v>96</v>
      </c>
      <c r="O39" s="21">
        <f>N39+((D39/30)*M39)</f>
        <v>192</v>
      </c>
      <c r="P39" s="19">
        <f>N39+E39</f>
        <v>296</v>
      </c>
      <c r="Q39" s="4">
        <v>4992</v>
      </c>
      <c r="R39" s="12">
        <v>1.55</v>
      </c>
      <c r="S39" s="2">
        <v>2204409082</v>
      </c>
      <c r="T39" s="2">
        <v>3268957021</v>
      </c>
    </row>
    <row r="40" spans="1:20" s="5" customFormat="1" ht="11.45" customHeight="1" x14ac:dyDescent="0.2">
      <c r="A40" s="3" t="s">
        <v>243</v>
      </c>
      <c r="B40" s="2" t="s">
        <v>21</v>
      </c>
      <c r="C40" s="8" t="s">
        <v>158</v>
      </c>
      <c r="D40" s="3">
        <v>30</v>
      </c>
      <c r="E40" s="3">
        <v>200</v>
      </c>
      <c r="F40" s="3">
        <v>200</v>
      </c>
      <c r="G40" s="3">
        <v>0</v>
      </c>
      <c r="H40" s="3">
        <v>1</v>
      </c>
      <c r="I40" s="3">
        <v>1</v>
      </c>
      <c r="J40" s="3">
        <v>15</v>
      </c>
      <c r="K40" s="3">
        <v>41</v>
      </c>
      <c r="L40" s="3">
        <v>55</v>
      </c>
      <c r="M40" s="3">
        <f>(G40*J40)+(H40*K40)+(I40*L40)</f>
        <v>96</v>
      </c>
      <c r="N40" s="20">
        <f>(D40/30)*M40</f>
        <v>96</v>
      </c>
      <c r="O40" s="21">
        <f>N40+((D40/30)*M40)</f>
        <v>192</v>
      </c>
      <c r="P40" s="19">
        <f>N40+E40</f>
        <v>296</v>
      </c>
      <c r="Q40" s="4">
        <v>4992</v>
      </c>
      <c r="R40" s="12">
        <v>5</v>
      </c>
      <c r="S40" s="2">
        <v>2204409082</v>
      </c>
      <c r="T40" s="2">
        <v>3268957217</v>
      </c>
    </row>
    <row r="41" spans="1:20" s="5" customFormat="1" ht="11.45" customHeight="1" x14ac:dyDescent="0.2">
      <c r="A41" s="3" t="s">
        <v>244</v>
      </c>
      <c r="B41" s="2" t="s">
        <v>22</v>
      </c>
      <c r="C41" s="8" t="s">
        <v>158</v>
      </c>
      <c r="D41" s="3">
        <v>30</v>
      </c>
      <c r="E41" s="3">
        <v>400</v>
      </c>
      <c r="F41" s="3">
        <v>500</v>
      </c>
      <c r="G41" s="3">
        <v>1</v>
      </c>
      <c r="H41" s="3">
        <v>2</v>
      </c>
      <c r="I41" s="3">
        <v>2</v>
      </c>
      <c r="J41" s="3">
        <v>15</v>
      </c>
      <c r="K41" s="3">
        <v>41</v>
      </c>
      <c r="L41" s="3">
        <v>55</v>
      </c>
      <c r="M41" s="3">
        <f>(G41*J41)+(H41*K41)+(I41*L41)</f>
        <v>207</v>
      </c>
      <c r="N41" s="20">
        <f>(D41/30)*M41</f>
        <v>207</v>
      </c>
      <c r="O41" s="21">
        <f>N41+((D41/30)*M41)</f>
        <v>414</v>
      </c>
      <c r="P41" s="19">
        <f>N41+E41</f>
        <v>607</v>
      </c>
      <c r="Q41" s="4">
        <v>4984</v>
      </c>
      <c r="R41" s="12">
        <v>2.64</v>
      </c>
      <c r="S41" s="2">
        <v>2204409082</v>
      </c>
      <c r="T41" s="2">
        <v>3268953852</v>
      </c>
    </row>
    <row r="42" spans="1:20" s="5" customFormat="1" ht="11.45" customHeight="1" x14ac:dyDescent="0.2">
      <c r="A42" s="3" t="s">
        <v>245</v>
      </c>
      <c r="B42" s="2" t="s">
        <v>23</v>
      </c>
      <c r="C42" s="8" t="s">
        <v>158</v>
      </c>
      <c r="D42" s="3">
        <v>30</v>
      </c>
      <c r="E42" s="3">
        <v>90</v>
      </c>
      <c r="F42" s="3">
        <v>90</v>
      </c>
      <c r="G42" s="3">
        <v>0</v>
      </c>
      <c r="H42" s="3">
        <v>1</v>
      </c>
      <c r="I42" s="3">
        <v>0</v>
      </c>
      <c r="J42" s="3">
        <v>15</v>
      </c>
      <c r="K42" s="3">
        <v>41</v>
      </c>
      <c r="L42" s="3">
        <v>55</v>
      </c>
      <c r="M42" s="3">
        <f>(G42*J42)+(H42*K42)+(I42*L42)</f>
        <v>41</v>
      </c>
      <c r="N42" s="20">
        <f>(D42/30)*M42</f>
        <v>41</v>
      </c>
      <c r="O42" s="21">
        <f>N42+((D42/30)*M42)</f>
        <v>82</v>
      </c>
      <c r="P42" s="19">
        <f>N42+E42</f>
        <v>131</v>
      </c>
      <c r="Q42" s="4">
        <v>5000</v>
      </c>
      <c r="R42" s="12">
        <v>1.04</v>
      </c>
      <c r="S42" s="2">
        <v>2204409082</v>
      </c>
      <c r="T42" s="2">
        <v>3268936884</v>
      </c>
    </row>
    <row r="43" spans="1:20" s="5" customFormat="1" ht="11.45" customHeight="1" x14ac:dyDescent="0.2">
      <c r="A43" s="3" t="s">
        <v>246</v>
      </c>
      <c r="B43" s="2" t="s">
        <v>8</v>
      </c>
      <c r="C43" s="8" t="s">
        <v>158</v>
      </c>
      <c r="D43" s="3">
        <v>30</v>
      </c>
      <c r="E43" s="3">
        <v>800</v>
      </c>
      <c r="F43" s="3">
        <v>1200</v>
      </c>
      <c r="G43" s="3">
        <v>4</v>
      </c>
      <c r="H43" s="3">
        <v>4</v>
      </c>
      <c r="I43" s="3">
        <v>4</v>
      </c>
      <c r="J43" s="3">
        <v>15</v>
      </c>
      <c r="K43" s="3">
        <v>41</v>
      </c>
      <c r="L43" s="3">
        <v>55</v>
      </c>
      <c r="M43" s="3">
        <f>(G43*J43)+(H43*K43)+(I43*L43)</f>
        <v>444</v>
      </c>
      <c r="N43" s="20">
        <f>(D43/30)*M43</f>
        <v>444</v>
      </c>
      <c r="O43" s="21">
        <f>N43+((D43/30)*M43)</f>
        <v>888</v>
      </c>
      <c r="P43" s="19">
        <f>N43+E43</f>
        <v>1244</v>
      </c>
      <c r="Q43" s="4">
        <v>4968</v>
      </c>
      <c r="R43" s="12">
        <v>3.62</v>
      </c>
      <c r="S43" s="2">
        <v>2204409082</v>
      </c>
      <c r="T43" s="2">
        <v>3268859330</v>
      </c>
    </row>
    <row r="44" spans="1:20" s="5" customFormat="1" ht="11.45" customHeight="1" x14ac:dyDescent="0.2">
      <c r="A44" s="3" t="s">
        <v>247</v>
      </c>
      <c r="B44" s="2" t="s">
        <v>344</v>
      </c>
      <c r="C44" s="8" t="s">
        <v>158</v>
      </c>
      <c r="D44" s="3">
        <v>30</v>
      </c>
      <c r="E44" s="3">
        <v>90</v>
      </c>
      <c r="F44" s="3">
        <v>90</v>
      </c>
      <c r="G44" s="3">
        <v>0</v>
      </c>
      <c r="H44" s="3">
        <v>1</v>
      </c>
      <c r="I44" s="3">
        <v>0</v>
      </c>
      <c r="J44" s="3">
        <v>15</v>
      </c>
      <c r="K44" s="3">
        <v>41</v>
      </c>
      <c r="L44" s="3">
        <v>55</v>
      </c>
      <c r="M44" s="3">
        <f>(G44*J44)+(H44*K44)+(I44*L44)</f>
        <v>41</v>
      </c>
      <c r="N44" s="20">
        <f>(D44/30)*M44</f>
        <v>41</v>
      </c>
      <c r="O44" s="21">
        <f>N44+((D44/30)*M44)</f>
        <v>82</v>
      </c>
      <c r="P44" s="19">
        <f>N44+E44</f>
        <v>131</v>
      </c>
      <c r="Q44" s="4">
        <v>5000</v>
      </c>
      <c r="R44" s="12">
        <v>1.95</v>
      </c>
      <c r="S44" s="2">
        <v>2204409082</v>
      </c>
      <c r="T44" s="2">
        <v>3268938307</v>
      </c>
    </row>
    <row r="45" spans="1:20" s="5" customFormat="1" ht="11.45" customHeight="1" x14ac:dyDescent="0.2">
      <c r="A45" s="3" t="s">
        <v>248</v>
      </c>
      <c r="B45" s="2" t="s">
        <v>26</v>
      </c>
      <c r="C45" s="8" t="s">
        <v>158</v>
      </c>
      <c r="D45" s="3">
        <v>30</v>
      </c>
      <c r="E45" s="3">
        <v>90</v>
      </c>
      <c r="F45" s="3">
        <v>90</v>
      </c>
      <c r="G45" s="3">
        <v>0</v>
      </c>
      <c r="H45" s="3">
        <v>1</v>
      </c>
      <c r="I45" s="3">
        <v>0</v>
      </c>
      <c r="J45" s="3">
        <v>15</v>
      </c>
      <c r="K45" s="3">
        <v>41</v>
      </c>
      <c r="L45" s="3">
        <v>55</v>
      </c>
      <c r="M45" s="3">
        <f>(G45*J45)+(H45*K45)+(I45*L45)</f>
        <v>41</v>
      </c>
      <c r="N45" s="20">
        <f>(D45/30)*M45</f>
        <v>41</v>
      </c>
      <c r="O45" s="21">
        <f>N45+((D45/30)*M45)</f>
        <v>82</v>
      </c>
      <c r="P45" s="19">
        <f>N45+E45</f>
        <v>131</v>
      </c>
      <c r="Q45" s="4">
        <v>5000</v>
      </c>
      <c r="R45" s="12">
        <v>15.7</v>
      </c>
      <c r="S45" s="2">
        <v>2204409082</v>
      </c>
      <c r="T45" s="2"/>
    </row>
    <row r="46" spans="1:20" s="6" customFormat="1" ht="11.45" customHeight="1" x14ac:dyDescent="0.2">
      <c r="A46" s="3" t="s">
        <v>249</v>
      </c>
      <c r="B46" s="2" t="s">
        <v>345</v>
      </c>
      <c r="C46" s="8" t="s">
        <v>158</v>
      </c>
      <c r="D46" s="3">
        <v>30</v>
      </c>
      <c r="E46" s="3">
        <v>90</v>
      </c>
      <c r="F46" s="3">
        <v>90</v>
      </c>
      <c r="G46" s="3">
        <v>0</v>
      </c>
      <c r="H46" s="3">
        <v>1</v>
      </c>
      <c r="I46" s="3">
        <v>0</v>
      </c>
      <c r="J46" s="3">
        <v>15</v>
      </c>
      <c r="K46" s="3">
        <v>41</v>
      </c>
      <c r="L46" s="3">
        <v>55</v>
      </c>
      <c r="M46" s="3">
        <f>(G46*J46)+(H46*K46)+(I46*L46)</f>
        <v>41</v>
      </c>
      <c r="N46" s="20">
        <f>(D46/30)*M46</f>
        <v>41</v>
      </c>
      <c r="O46" s="21">
        <f>N46+((D46/30)*M46)</f>
        <v>82</v>
      </c>
      <c r="P46" s="19">
        <f>N46+E46</f>
        <v>131</v>
      </c>
      <c r="Q46" s="4">
        <v>5000</v>
      </c>
      <c r="R46" s="12">
        <v>8.5</v>
      </c>
      <c r="S46" s="2">
        <v>2204409082</v>
      </c>
      <c r="T46" s="2">
        <v>3268938595</v>
      </c>
    </row>
    <row r="47" spans="1:20" s="6" customFormat="1" ht="11.45" customHeight="1" x14ac:dyDescent="0.2">
      <c r="A47" s="3" t="s">
        <v>250</v>
      </c>
      <c r="B47" s="9" t="s">
        <v>147</v>
      </c>
      <c r="C47" s="8" t="s">
        <v>158</v>
      </c>
      <c r="D47" s="3">
        <v>30</v>
      </c>
      <c r="E47" s="3">
        <v>110</v>
      </c>
      <c r="F47" s="3">
        <v>110</v>
      </c>
      <c r="G47" s="3">
        <v>0</v>
      </c>
      <c r="H47" s="3">
        <v>0</v>
      </c>
      <c r="I47" s="3">
        <v>1</v>
      </c>
      <c r="J47" s="3">
        <v>15</v>
      </c>
      <c r="K47" s="3">
        <v>41</v>
      </c>
      <c r="L47" s="3">
        <v>55</v>
      </c>
      <c r="M47" s="3">
        <f>(G47*J47)+(H47*K47)+(I47*L47)</f>
        <v>55</v>
      </c>
      <c r="N47" s="20">
        <f>(D47/30)*M47</f>
        <v>55</v>
      </c>
      <c r="O47" s="21">
        <f>N47+((D47/30)*M47)</f>
        <v>110</v>
      </c>
      <c r="P47" s="19">
        <f>N47+E47</f>
        <v>165</v>
      </c>
      <c r="Q47" s="4">
        <v>4992</v>
      </c>
      <c r="R47" s="12">
        <v>8.65</v>
      </c>
      <c r="S47" s="2">
        <v>2204409082</v>
      </c>
      <c r="T47" s="2">
        <v>3269750277</v>
      </c>
    </row>
    <row r="48" spans="1:20" s="6" customFormat="1" ht="11.45" customHeight="1" x14ac:dyDescent="0.2">
      <c r="A48" s="3" t="s">
        <v>251</v>
      </c>
      <c r="B48" s="2" t="s">
        <v>340</v>
      </c>
      <c r="C48" s="8" t="s">
        <v>158</v>
      </c>
      <c r="D48" s="3">
        <v>30</v>
      </c>
      <c r="E48" s="3">
        <v>40</v>
      </c>
      <c r="F48" s="3">
        <v>40</v>
      </c>
      <c r="G48" s="3">
        <v>1</v>
      </c>
      <c r="H48" s="3">
        <v>0</v>
      </c>
      <c r="I48" s="3">
        <v>0</v>
      </c>
      <c r="J48" s="3">
        <v>15</v>
      </c>
      <c r="K48" s="3">
        <v>41</v>
      </c>
      <c r="L48" s="3">
        <v>55</v>
      </c>
      <c r="M48" s="3">
        <f>(G48*J48)+(H48*K48)+(I48*L48)</f>
        <v>15</v>
      </c>
      <c r="N48" s="20">
        <f>(D48/30)*M48</f>
        <v>15</v>
      </c>
      <c r="O48" s="21">
        <f>N48+((D48/30)*M48)</f>
        <v>30</v>
      </c>
      <c r="P48" s="19">
        <f>N48+E48</f>
        <v>55</v>
      </c>
      <c r="Q48" s="4">
        <v>5000</v>
      </c>
      <c r="R48" s="12">
        <v>16.149999999999999</v>
      </c>
      <c r="S48" s="2">
        <v>2204409082</v>
      </c>
      <c r="T48" s="2">
        <v>4165269993</v>
      </c>
    </row>
    <row r="49" spans="1:20" s="6" customFormat="1" ht="11.45" customHeight="1" x14ac:dyDescent="0.2">
      <c r="A49" s="3" t="s">
        <v>252</v>
      </c>
      <c r="B49" s="2" t="s">
        <v>181</v>
      </c>
      <c r="C49" s="8" t="s">
        <v>158</v>
      </c>
      <c r="D49" s="3">
        <v>30</v>
      </c>
      <c r="E49" s="3">
        <v>40</v>
      </c>
      <c r="F49" s="3">
        <v>40</v>
      </c>
      <c r="G49" s="3">
        <v>1</v>
      </c>
      <c r="H49" s="3">
        <v>0</v>
      </c>
      <c r="I49" s="3">
        <v>0</v>
      </c>
      <c r="J49" s="3">
        <v>15</v>
      </c>
      <c r="K49" s="3">
        <v>41</v>
      </c>
      <c r="L49" s="3">
        <v>55</v>
      </c>
      <c r="M49" s="3">
        <f>(G49*J49)+(H49*K49)+(I49*L49)</f>
        <v>15</v>
      </c>
      <c r="N49" s="20">
        <f>(D49/30)*M49</f>
        <v>15</v>
      </c>
      <c r="O49" s="21">
        <f>N49+((D49/30)*M49)</f>
        <v>30</v>
      </c>
      <c r="P49" s="19">
        <f>N49+E49</f>
        <v>55</v>
      </c>
      <c r="Q49" s="4">
        <v>5000</v>
      </c>
      <c r="R49" s="12">
        <v>7.36</v>
      </c>
      <c r="S49" s="2">
        <v>2204409082</v>
      </c>
      <c r="T49" s="2"/>
    </row>
    <row r="50" spans="1:20" s="6" customFormat="1" ht="11.45" customHeight="1" x14ac:dyDescent="0.2">
      <c r="A50" s="3" t="s">
        <v>253</v>
      </c>
      <c r="B50" s="2" t="s">
        <v>31</v>
      </c>
      <c r="C50" s="8" t="s">
        <v>158</v>
      </c>
      <c r="D50" s="3">
        <v>30</v>
      </c>
      <c r="E50" s="3">
        <v>40</v>
      </c>
      <c r="F50" s="3">
        <v>40</v>
      </c>
      <c r="G50" s="3">
        <v>1</v>
      </c>
      <c r="H50" s="3">
        <v>0</v>
      </c>
      <c r="I50" s="3">
        <v>0</v>
      </c>
      <c r="J50" s="3">
        <v>15</v>
      </c>
      <c r="K50" s="3">
        <v>41</v>
      </c>
      <c r="L50" s="3">
        <v>55</v>
      </c>
      <c r="M50" s="3">
        <f>(G50*J50)+(H50*K50)+(I50*L50)</f>
        <v>15</v>
      </c>
      <c r="N50" s="20">
        <f>(D50/30)*M50</f>
        <v>15</v>
      </c>
      <c r="O50" s="21">
        <f>N50+((D50/30)*M50)</f>
        <v>30</v>
      </c>
      <c r="P50" s="19">
        <f>N50+E50</f>
        <v>55</v>
      </c>
      <c r="Q50" s="4">
        <v>5000</v>
      </c>
      <c r="R50" s="12">
        <v>17.12</v>
      </c>
      <c r="S50" s="2">
        <v>2204409082</v>
      </c>
      <c r="T50" s="2"/>
    </row>
    <row r="51" spans="1:20" s="6" customFormat="1" ht="11.45" customHeight="1" x14ac:dyDescent="0.2">
      <c r="A51" s="3" t="s">
        <v>254</v>
      </c>
      <c r="B51" s="2" t="s">
        <v>17</v>
      </c>
      <c r="C51" s="8" t="s">
        <v>158</v>
      </c>
      <c r="D51" s="3">
        <v>30</v>
      </c>
      <c r="E51" s="3">
        <v>40</v>
      </c>
      <c r="F51" s="3">
        <v>40</v>
      </c>
      <c r="G51" s="3">
        <v>1</v>
      </c>
      <c r="H51" s="3">
        <v>0</v>
      </c>
      <c r="I51" s="3">
        <v>0</v>
      </c>
      <c r="J51" s="3">
        <v>15</v>
      </c>
      <c r="K51" s="3">
        <v>41</v>
      </c>
      <c r="L51" s="3">
        <v>55</v>
      </c>
      <c r="M51" s="3">
        <f>(G51*J51)+(H51*K51)+(I51*L51)</f>
        <v>15</v>
      </c>
      <c r="N51" s="20">
        <f>(D51/30)*M51</f>
        <v>15</v>
      </c>
      <c r="O51" s="21">
        <f>N51+((D51/30)*M51)</f>
        <v>30</v>
      </c>
      <c r="P51" s="19">
        <f>N51+E51</f>
        <v>55</v>
      </c>
      <c r="Q51" s="4">
        <v>5000</v>
      </c>
      <c r="R51" s="12">
        <v>15.98</v>
      </c>
      <c r="S51" s="2">
        <v>2204409082</v>
      </c>
      <c r="T51" s="2"/>
    </row>
    <row r="52" spans="1:20" s="6" customFormat="1" ht="11.45" customHeight="1" x14ac:dyDescent="0.2">
      <c r="A52" s="3" t="s">
        <v>255</v>
      </c>
      <c r="B52" s="2" t="s">
        <v>1</v>
      </c>
      <c r="C52" s="8" t="s">
        <v>158</v>
      </c>
      <c r="D52" s="3">
        <v>30</v>
      </c>
      <c r="E52" s="3">
        <v>40</v>
      </c>
      <c r="F52" s="3">
        <v>40</v>
      </c>
      <c r="G52" s="3">
        <v>2</v>
      </c>
      <c r="H52" s="3">
        <v>0</v>
      </c>
      <c r="I52" s="3">
        <v>0</v>
      </c>
      <c r="J52" s="3">
        <v>15</v>
      </c>
      <c r="K52" s="3">
        <v>41</v>
      </c>
      <c r="L52" s="3">
        <v>55</v>
      </c>
      <c r="M52" s="3">
        <f>(G52*J52)+(H52*K52)+(I52*L52)</f>
        <v>30</v>
      </c>
      <c r="N52" s="20">
        <f>(D52/30)*M52</f>
        <v>30</v>
      </c>
      <c r="O52" s="21">
        <f>N52+((D52/30)*M52)</f>
        <v>60</v>
      </c>
      <c r="P52" s="19">
        <f>N52+E52</f>
        <v>70</v>
      </c>
      <c r="Q52" s="4">
        <v>5000</v>
      </c>
      <c r="R52" s="12">
        <v>4.91</v>
      </c>
      <c r="S52" s="2">
        <v>2204409082</v>
      </c>
      <c r="T52" s="2"/>
    </row>
    <row r="53" spans="1:20" s="6" customFormat="1" ht="11.45" customHeight="1" x14ac:dyDescent="0.2">
      <c r="A53" s="3" t="s">
        <v>256</v>
      </c>
      <c r="B53" s="2" t="s">
        <v>2</v>
      </c>
      <c r="C53" s="8" t="s">
        <v>158</v>
      </c>
      <c r="D53" s="3">
        <v>30</v>
      </c>
      <c r="E53" s="3">
        <v>40</v>
      </c>
      <c r="F53" s="3">
        <v>40</v>
      </c>
      <c r="G53" s="3">
        <v>1</v>
      </c>
      <c r="H53" s="3">
        <v>0</v>
      </c>
      <c r="I53" s="3">
        <v>0</v>
      </c>
      <c r="J53" s="3">
        <v>15</v>
      </c>
      <c r="K53" s="3">
        <v>41</v>
      </c>
      <c r="L53" s="3">
        <v>55</v>
      </c>
      <c r="M53" s="3">
        <f>(G53*J53)+(H53*K53)+(I53*L53)</f>
        <v>15</v>
      </c>
      <c r="N53" s="20">
        <f>(D53/30)*M53</f>
        <v>15</v>
      </c>
      <c r="O53" s="21">
        <f>N53+((D53/30)*M53)</f>
        <v>30</v>
      </c>
      <c r="P53" s="19">
        <f>N53+E53</f>
        <v>55</v>
      </c>
      <c r="Q53" s="4">
        <v>5000</v>
      </c>
      <c r="R53" s="12">
        <v>4.07</v>
      </c>
      <c r="S53" s="2">
        <v>2204409082</v>
      </c>
      <c r="T53" s="2"/>
    </row>
    <row r="54" spans="1:20" s="6" customFormat="1" ht="11.45" customHeight="1" x14ac:dyDescent="0.2">
      <c r="A54" s="3" t="s">
        <v>257</v>
      </c>
      <c r="B54" s="9" t="s">
        <v>197</v>
      </c>
      <c r="C54" s="8" t="s">
        <v>158</v>
      </c>
      <c r="D54" s="3">
        <v>30</v>
      </c>
      <c r="E54" s="3">
        <v>40</v>
      </c>
      <c r="F54" s="3">
        <v>40</v>
      </c>
      <c r="G54" s="3">
        <v>1</v>
      </c>
      <c r="H54" s="3">
        <v>0</v>
      </c>
      <c r="I54" s="3">
        <v>0</v>
      </c>
      <c r="J54" s="3">
        <v>15</v>
      </c>
      <c r="K54" s="3">
        <v>41</v>
      </c>
      <c r="L54" s="3">
        <v>55</v>
      </c>
      <c r="M54" s="3">
        <f>(G54*J54)+(H54*K54)+(I54*L54)</f>
        <v>15</v>
      </c>
      <c r="N54" s="20">
        <f>(D54/30)*M54</f>
        <v>15</v>
      </c>
      <c r="O54" s="21">
        <f>N54+((D54/30)*M54)</f>
        <v>30</v>
      </c>
      <c r="P54" s="19">
        <f>N54+E54</f>
        <v>55</v>
      </c>
      <c r="Q54" s="4">
        <v>5000</v>
      </c>
      <c r="R54" s="12">
        <v>8.9</v>
      </c>
      <c r="S54" s="2">
        <v>2204409082</v>
      </c>
      <c r="T54" s="2"/>
    </row>
    <row r="55" spans="1:20" s="6" customFormat="1" ht="11.45" customHeight="1" x14ac:dyDescent="0.2">
      <c r="A55" s="3" t="s">
        <v>258</v>
      </c>
      <c r="B55" s="2" t="s">
        <v>42</v>
      </c>
      <c r="C55" s="8" t="s">
        <v>158</v>
      </c>
      <c r="D55" s="3">
        <v>30</v>
      </c>
      <c r="E55" s="3">
        <v>40</v>
      </c>
      <c r="F55" s="3">
        <v>40</v>
      </c>
      <c r="G55" s="3">
        <v>1</v>
      </c>
      <c r="H55" s="3">
        <v>0</v>
      </c>
      <c r="I55" s="3">
        <v>0</v>
      </c>
      <c r="J55" s="3">
        <v>15</v>
      </c>
      <c r="K55" s="3">
        <v>41</v>
      </c>
      <c r="L55" s="3">
        <v>55</v>
      </c>
      <c r="M55" s="3">
        <f>(G55*J55)+(H55*K55)+(I55*L55)</f>
        <v>15</v>
      </c>
      <c r="N55" s="20">
        <f>(D55/30)*M55</f>
        <v>15</v>
      </c>
      <c r="O55" s="21">
        <f>N55+((D55/30)*M55)</f>
        <v>30</v>
      </c>
      <c r="P55" s="19">
        <f>N55+E55</f>
        <v>55</v>
      </c>
      <c r="Q55" s="4">
        <v>5000</v>
      </c>
      <c r="R55" s="12">
        <v>1.01</v>
      </c>
      <c r="S55" s="2">
        <v>2204409082</v>
      </c>
      <c r="T55" s="2"/>
    </row>
    <row r="56" spans="1:20" s="6" customFormat="1" ht="11.45" customHeight="1" x14ac:dyDescent="0.2">
      <c r="A56" s="3" t="s">
        <v>259</v>
      </c>
      <c r="B56" s="2" t="s">
        <v>43</v>
      </c>
      <c r="C56" s="8" t="s">
        <v>158</v>
      </c>
      <c r="D56" s="3">
        <v>30</v>
      </c>
      <c r="E56" s="3">
        <v>40</v>
      </c>
      <c r="F56" s="3">
        <v>40</v>
      </c>
      <c r="G56" s="3">
        <v>1</v>
      </c>
      <c r="H56" s="3">
        <v>0</v>
      </c>
      <c r="I56" s="3">
        <v>0</v>
      </c>
      <c r="J56" s="3">
        <v>15</v>
      </c>
      <c r="K56" s="3">
        <v>41</v>
      </c>
      <c r="L56" s="3">
        <v>55</v>
      </c>
      <c r="M56" s="3">
        <f>(G56*J56)+(H56*K56)+(I56*L56)</f>
        <v>15</v>
      </c>
      <c r="N56" s="20">
        <f>(D56/30)*M56</f>
        <v>15</v>
      </c>
      <c r="O56" s="21">
        <f>N56+((D56/30)*M56)</f>
        <v>30</v>
      </c>
      <c r="P56" s="19">
        <f>N56+E56</f>
        <v>55</v>
      </c>
      <c r="Q56" s="4">
        <v>5000</v>
      </c>
      <c r="R56" s="12">
        <v>4.92</v>
      </c>
      <c r="S56" s="2">
        <v>2204409082</v>
      </c>
      <c r="T56" s="2"/>
    </row>
    <row r="57" spans="1:20" s="6" customFormat="1" ht="11.45" customHeight="1" x14ac:dyDescent="0.2">
      <c r="A57" s="3" t="s">
        <v>260</v>
      </c>
      <c r="B57" s="2" t="s">
        <v>184</v>
      </c>
      <c r="C57" s="8" t="s">
        <v>158</v>
      </c>
      <c r="D57" s="3">
        <v>30</v>
      </c>
      <c r="E57" s="3">
        <v>100</v>
      </c>
      <c r="F57" s="3">
        <v>100</v>
      </c>
      <c r="G57" s="3">
        <v>0</v>
      </c>
      <c r="H57" s="3">
        <v>0</v>
      </c>
      <c r="I57" s="3">
        <v>1</v>
      </c>
      <c r="J57" s="3">
        <v>15</v>
      </c>
      <c r="K57" s="3">
        <v>41</v>
      </c>
      <c r="L57" s="3">
        <v>55</v>
      </c>
      <c r="M57" s="3">
        <v>55</v>
      </c>
      <c r="N57" s="20">
        <v>165</v>
      </c>
      <c r="O57" s="21">
        <v>330</v>
      </c>
      <c r="P57" s="19">
        <v>265</v>
      </c>
      <c r="Q57" s="4">
        <v>4992</v>
      </c>
      <c r="R57" s="12">
        <v>15.7</v>
      </c>
      <c r="S57" s="2">
        <v>2204409082</v>
      </c>
      <c r="T57" s="2"/>
    </row>
    <row r="58" spans="1:20" s="5" customFormat="1" ht="11.45" customHeight="1" x14ac:dyDescent="0.2">
      <c r="A58" s="3" t="s">
        <v>261</v>
      </c>
      <c r="B58" s="2" t="s">
        <v>141</v>
      </c>
      <c r="C58" s="8" t="s">
        <v>158</v>
      </c>
      <c r="D58" s="3">
        <v>30</v>
      </c>
      <c r="E58" s="3">
        <v>50</v>
      </c>
      <c r="F58" s="3"/>
      <c r="G58" s="3">
        <v>0</v>
      </c>
      <c r="H58" s="3">
        <v>0</v>
      </c>
      <c r="I58" s="3">
        <v>0</v>
      </c>
      <c r="J58" s="3">
        <v>15</v>
      </c>
      <c r="K58" s="3">
        <v>41</v>
      </c>
      <c r="L58" s="3">
        <v>55</v>
      </c>
      <c r="M58" s="3">
        <f>(G58*J58)+(H58*K58)+(I58*L58)</f>
        <v>0</v>
      </c>
      <c r="N58" s="20">
        <f>(D58/30)*M58</f>
        <v>0</v>
      </c>
      <c r="O58" s="21">
        <f>N58+((D58/30)*M58)</f>
        <v>0</v>
      </c>
      <c r="P58" s="19">
        <f>N58+E58</f>
        <v>50</v>
      </c>
      <c r="Q58" s="4">
        <v>5000</v>
      </c>
      <c r="R58" s="13"/>
      <c r="S58" s="2">
        <v>2204409082</v>
      </c>
      <c r="T58" s="2"/>
    </row>
    <row r="59" spans="1:20" s="5" customFormat="1" ht="11.45" customHeight="1" x14ac:dyDescent="0.2">
      <c r="A59" s="3" t="s">
        <v>262</v>
      </c>
      <c r="B59" s="2" t="s">
        <v>24</v>
      </c>
      <c r="C59" s="8" t="s">
        <v>158</v>
      </c>
      <c r="D59" s="3">
        <v>30</v>
      </c>
      <c r="E59" s="3">
        <v>50</v>
      </c>
      <c r="F59" s="3"/>
      <c r="G59" s="3">
        <v>0</v>
      </c>
      <c r="H59" s="3">
        <v>0</v>
      </c>
      <c r="I59" s="3">
        <v>0</v>
      </c>
      <c r="J59" s="3">
        <v>15</v>
      </c>
      <c r="K59" s="3">
        <v>41</v>
      </c>
      <c r="L59" s="3">
        <v>55</v>
      </c>
      <c r="M59" s="3">
        <f>(G59*J59)+(H59*K59)+(I59*L59)</f>
        <v>0</v>
      </c>
      <c r="N59" s="20">
        <f>(D59/30)*M59</f>
        <v>0</v>
      </c>
      <c r="O59" s="21">
        <f>N59+((D59/30)*M59)</f>
        <v>0</v>
      </c>
      <c r="P59" s="19">
        <f>N59+E59</f>
        <v>50</v>
      </c>
      <c r="Q59" s="4">
        <v>5000</v>
      </c>
      <c r="R59" s="13"/>
      <c r="S59" s="2">
        <v>2204409082</v>
      </c>
      <c r="T59" s="2"/>
    </row>
    <row r="60" spans="1:20" s="5" customFormat="1" ht="12" x14ac:dyDescent="0.2">
      <c r="A60" s="3" t="s">
        <v>263</v>
      </c>
      <c r="B60" s="2" t="s">
        <v>28</v>
      </c>
      <c r="C60" s="8" t="s">
        <v>150</v>
      </c>
      <c r="D60" s="3">
        <v>32</v>
      </c>
      <c r="E60" s="3">
        <v>3000</v>
      </c>
      <c r="F60" s="3">
        <v>5000</v>
      </c>
      <c r="G60" s="3">
        <v>14</v>
      </c>
      <c r="H60" s="3">
        <v>10</v>
      </c>
      <c r="I60" s="3">
        <v>10</v>
      </c>
      <c r="J60" s="3">
        <v>15</v>
      </c>
      <c r="K60" s="3">
        <v>41</v>
      </c>
      <c r="L60" s="3">
        <v>55</v>
      </c>
      <c r="M60" s="3">
        <f>(G60*J60)+(H60*K60)+(I60*L60)</f>
        <v>1170</v>
      </c>
      <c r="N60" s="20">
        <f>(D60/30)*M60</f>
        <v>1248</v>
      </c>
      <c r="O60" s="21">
        <f>N60+((D60/30)*M60)</f>
        <v>2496</v>
      </c>
      <c r="P60" s="19">
        <f>N60+E60</f>
        <v>4248</v>
      </c>
      <c r="Q60" s="4">
        <v>4920</v>
      </c>
      <c r="R60" s="12">
        <v>0.79</v>
      </c>
      <c r="S60" s="2">
        <v>3831630646</v>
      </c>
      <c r="T60" s="2"/>
    </row>
    <row r="61" spans="1:20" s="5" customFormat="1" ht="12" x14ac:dyDescent="0.2">
      <c r="A61" s="3" t="s">
        <v>264</v>
      </c>
      <c r="B61" s="2" t="s">
        <v>148</v>
      </c>
      <c r="C61" s="8" t="s">
        <v>150</v>
      </c>
      <c r="D61" s="3">
        <v>32</v>
      </c>
      <c r="E61" s="3">
        <v>1000</v>
      </c>
      <c r="F61" s="3">
        <v>600</v>
      </c>
      <c r="G61" s="3">
        <v>0</v>
      </c>
      <c r="H61" s="3">
        <v>0</v>
      </c>
      <c r="I61" s="3">
        <v>2</v>
      </c>
      <c r="J61" s="3">
        <v>15</v>
      </c>
      <c r="K61" s="3">
        <v>41</v>
      </c>
      <c r="L61" s="3">
        <v>55</v>
      </c>
      <c r="M61" s="3">
        <f>(G61*J61)+(H61*K61)+(I61*L61)</f>
        <v>110</v>
      </c>
      <c r="N61" s="20">
        <f>(D61/30)*M61</f>
        <v>117.33333333333333</v>
      </c>
      <c r="O61" s="21">
        <f>N61+((D61/30)*M61)</f>
        <v>234.66666666666666</v>
      </c>
      <c r="P61" s="19">
        <f>N61+E61</f>
        <v>1117.3333333333333</v>
      </c>
      <c r="Q61" s="4">
        <v>4984</v>
      </c>
      <c r="R61" s="12">
        <v>2.9</v>
      </c>
      <c r="S61" s="2">
        <v>3831630646</v>
      </c>
      <c r="T61" s="2"/>
    </row>
    <row r="62" spans="1:20" s="5" customFormat="1" ht="12" x14ac:dyDescent="0.2">
      <c r="A62" s="3" t="s">
        <v>265</v>
      </c>
      <c r="B62" s="2" t="s">
        <v>33</v>
      </c>
      <c r="C62" s="8" t="s">
        <v>152</v>
      </c>
      <c r="D62" s="3">
        <v>56</v>
      </c>
      <c r="E62" s="3">
        <v>110</v>
      </c>
      <c r="F62" s="3">
        <v>300</v>
      </c>
      <c r="G62" s="3">
        <v>0</v>
      </c>
      <c r="H62" s="3">
        <v>0</v>
      </c>
      <c r="I62" s="3">
        <v>1</v>
      </c>
      <c r="J62" s="3">
        <v>15</v>
      </c>
      <c r="K62" s="3">
        <v>41</v>
      </c>
      <c r="L62" s="3">
        <v>55</v>
      </c>
      <c r="M62" s="3">
        <f>(G62*J62)+(H62*K62)+(I62*L62)</f>
        <v>55</v>
      </c>
      <c r="N62" s="20">
        <f>(D62/30)*M62</f>
        <v>102.66666666666667</v>
      </c>
      <c r="O62" s="21">
        <f>N62+((D62/30)*M62)</f>
        <v>205.33333333333334</v>
      </c>
      <c r="P62" s="19">
        <f>N62+E62</f>
        <v>212.66666666666669</v>
      </c>
      <c r="Q62" s="4">
        <v>4992</v>
      </c>
      <c r="R62" s="12">
        <v>120</v>
      </c>
      <c r="S62" s="2">
        <v>2204408879</v>
      </c>
      <c r="T62" s="2"/>
    </row>
    <row r="63" spans="1:20" s="5" customFormat="1" ht="12" x14ac:dyDescent="0.2">
      <c r="A63" s="3" t="s">
        <v>266</v>
      </c>
      <c r="B63" s="2" t="s">
        <v>36</v>
      </c>
      <c r="C63" s="8" t="s">
        <v>150</v>
      </c>
      <c r="D63" s="3">
        <v>32</v>
      </c>
      <c r="E63" s="3">
        <v>1000</v>
      </c>
      <c r="F63" s="3">
        <v>500</v>
      </c>
      <c r="G63" s="3">
        <v>0</v>
      </c>
      <c r="H63" s="3">
        <v>0</v>
      </c>
      <c r="I63" s="3">
        <v>1</v>
      </c>
      <c r="J63" s="3">
        <v>15</v>
      </c>
      <c r="K63" s="3">
        <v>41</v>
      </c>
      <c r="L63" s="3">
        <v>55</v>
      </c>
      <c r="M63" s="3">
        <f>(G63*J63)+(H63*K63)+(I63*L63)</f>
        <v>55</v>
      </c>
      <c r="N63" s="20">
        <f>(D63/30)*M63</f>
        <v>58.666666666666664</v>
      </c>
      <c r="O63" s="21">
        <f>N63+((D63/30)*M63)</f>
        <v>117.33333333333333</v>
      </c>
      <c r="P63" s="19">
        <f>N63+E63</f>
        <v>1058.6666666666667</v>
      </c>
      <c r="Q63" s="4">
        <v>4992</v>
      </c>
      <c r="R63" s="12">
        <v>2.04</v>
      </c>
      <c r="S63" s="2">
        <v>3831630646</v>
      </c>
      <c r="T63" s="2"/>
    </row>
    <row r="64" spans="1:20" s="5" customFormat="1" ht="12" x14ac:dyDescent="0.2">
      <c r="A64" s="3" t="s">
        <v>267</v>
      </c>
      <c r="B64" s="2" t="s">
        <v>37</v>
      </c>
      <c r="C64" s="8" t="s">
        <v>150</v>
      </c>
      <c r="D64" s="3">
        <v>32</v>
      </c>
      <c r="E64" s="3">
        <v>1000</v>
      </c>
      <c r="F64" s="3">
        <v>500</v>
      </c>
      <c r="G64" s="3">
        <v>0</v>
      </c>
      <c r="H64" s="3">
        <v>0</v>
      </c>
      <c r="I64" s="3">
        <v>1</v>
      </c>
      <c r="J64" s="3">
        <v>15</v>
      </c>
      <c r="K64" s="3">
        <v>41</v>
      </c>
      <c r="L64" s="3">
        <v>55</v>
      </c>
      <c r="M64" s="3">
        <f>(G64*J64)+(H64*K64)+(I64*L64)</f>
        <v>55</v>
      </c>
      <c r="N64" s="20">
        <f>(D64/30)*M64</f>
        <v>58.666666666666664</v>
      </c>
      <c r="O64" s="21">
        <f>N64+((D64/30)*M64)</f>
        <v>117.33333333333333</v>
      </c>
      <c r="P64" s="19">
        <f>N64+E64</f>
        <v>1058.6666666666667</v>
      </c>
      <c r="Q64" s="4">
        <v>4992</v>
      </c>
      <c r="R64" s="12">
        <v>1.39</v>
      </c>
      <c r="S64" s="2">
        <v>3831630646</v>
      </c>
      <c r="T64" s="2"/>
    </row>
    <row r="65" spans="1:20" s="5" customFormat="1" ht="12" x14ac:dyDescent="0.2">
      <c r="A65" s="3" t="s">
        <v>268</v>
      </c>
      <c r="B65" s="2" t="s">
        <v>39</v>
      </c>
      <c r="C65" s="8" t="s">
        <v>150</v>
      </c>
      <c r="D65" s="3">
        <v>32</v>
      </c>
      <c r="E65" s="3">
        <v>1000</v>
      </c>
      <c r="F65" s="3">
        <v>1000</v>
      </c>
      <c r="G65" s="3">
        <v>0</v>
      </c>
      <c r="H65" s="3">
        <v>0</v>
      </c>
      <c r="I65" s="3">
        <v>4</v>
      </c>
      <c r="J65" s="3">
        <v>15</v>
      </c>
      <c r="K65" s="3">
        <v>41</v>
      </c>
      <c r="L65" s="3">
        <v>55</v>
      </c>
      <c r="M65" s="3">
        <f>(G65*J65)+(H65*K65)+(I65*L65)</f>
        <v>220</v>
      </c>
      <c r="N65" s="20">
        <f>(D65/30)*M65</f>
        <v>234.66666666666666</v>
      </c>
      <c r="O65" s="21">
        <f>N65+((D65/30)*M65)</f>
        <v>469.33333333333331</v>
      </c>
      <c r="P65" s="19">
        <v>1240</v>
      </c>
      <c r="Q65" s="4">
        <v>4968</v>
      </c>
      <c r="R65" s="12">
        <v>0.95</v>
      </c>
      <c r="S65" s="2">
        <v>3831630646</v>
      </c>
      <c r="T65" s="2"/>
    </row>
    <row r="66" spans="1:20" s="5" customFormat="1" ht="12" x14ac:dyDescent="0.2">
      <c r="A66" s="3" t="s">
        <v>269</v>
      </c>
      <c r="B66" s="2" t="s">
        <v>48</v>
      </c>
      <c r="C66" s="8" t="s">
        <v>150</v>
      </c>
      <c r="D66" s="3">
        <v>32</v>
      </c>
      <c r="E66" s="3">
        <v>1000</v>
      </c>
      <c r="F66" s="3">
        <v>500</v>
      </c>
      <c r="G66" s="3">
        <v>0</v>
      </c>
      <c r="H66" s="3">
        <v>0</v>
      </c>
      <c r="I66" s="3">
        <v>1</v>
      </c>
      <c r="J66" s="3">
        <v>15</v>
      </c>
      <c r="K66" s="3">
        <v>41</v>
      </c>
      <c r="L66" s="3">
        <v>55</v>
      </c>
      <c r="M66" s="3">
        <f>(G66*J66)+(H66*K66)+(I66*L66)</f>
        <v>55</v>
      </c>
      <c r="N66" s="20">
        <f>(D66/30)*M66</f>
        <v>58.666666666666664</v>
      </c>
      <c r="O66" s="21">
        <f>N66+((D66/30)*M66)</f>
        <v>117.33333333333333</v>
      </c>
      <c r="P66" s="19">
        <f>N66+E66</f>
        <v>1058.6666666666667</v>
      </c>
      <c r="Q66" s="4">
        <v>4992</v>
      </c>
      <c r="R66" s="12">
        <v>1.05</v>
      </c>
      <c r="S66" s="2">
        <v>3831630646</v>
      </c>
      <c r="T66" s="2"/>
    </row>
    <row r="67" spans="1:20" s="5" customFormat="1" ht="12" x14ac:dyDescent="0.2">
      <c r="A67" s="3" t="s">
        <v>270</v>
      </c>
      <c r="B67" s="2" t="s">
        <v>51</v>
      </c>
      <c r="C67" s="8" t="s">
        <v>151</v>
      </c>
      <c r="D67" s="3">
        <v>60</v>
      </c>
      <c r="E67" s="3">
        <v>165</v>
      </c>
      <c r="F67" s="3">
        <v>300</v>
      </c>
      <c r="G67" s="3">
        <v>0</v>
      </c>
      <c r="H67" s="3">
        <v>0</v>
      </c>
      <c r="I67" s="3">
        <v>1</v>
      </c>
      <c r="J67" s="3">
        <v>15</v>
      </c>
      <c r="K67" s="3">
        <v>41</v>
      </c>
      <c r="L67" s="3">
        <v>55</v>
      </c>
      <c r="M67" s="3">
        <f>(G67*J67)+(H67*K67)+(I67*L67)</f>
        <v>55</v>
      </c>
      <c r="N67" s="20">
        <f>(D67/30)*M67</f>
        <v>110</v>
      </c>
      <c r="O67" s="21">
        <f>N67+((D67/30)*M67)</f>
        <v>220</v>
      </c>
      <c r="P67" s="19">
        <f>N67+E67</f>
        <v>275</v>
      </c>
      <c r="Q67" s="4">
        <v>4992</v>
      </c>
      <c r="R67" s="12">
        <v>32</v>
      </c>
      <c r="S67" s="2">
        <v>3889868176</v>
      </c>
      <c r="T67" s="2"/>
    </row>
    <row r="68" spans="1:20" s="5" customFormat="1" ht="12" x14ac:dyDescent="0.2">
      <c r="A68" s="3" t="s">
        <v>271</v>
      </c>
      <c r="B68" s="2" t="s">
        <v>52</v>
      </c>
      <c r="C68" s="8" t="s">
        <v>151</v>
      </c>
      <c r="D68" s="3">
        <v>60</v>
      </c>
      <c r="E68" s="3">
        <v>165</v>
      </c>
      <c r="F68" s="3">
        <v>300</v>
      </c>
      <c r="G68" s="3">
        <v>0</v>
      </c>
      <c r="H68" s="3">
        <v>0</v>
      </c>
      <c r="I68" s="3">
        <v>1</v>
      </c>
      <c r="J68" s="3">
        <v>15</v>
      </c>
      <c r="K68" s="3">
        <v>41</v>
      </c>
      <c r="L68" s="3">
        <v>55</v>
      </c>
      <c r="M68" s="3">
        <f>(G68*J68)+(H68*K68)+(I68*L68)</f>
        <v>55</v>
      </c>
      <c r="N68" s="20">
        <f>(D68/30)*M68</f>
        <v>110</v>
      </c>
      <c r="O68" s="21">
        <f>N68+((D68/30)*M68)</f>
        <v>220</v>
      </c>
      <c r="P68" s="19">
        <f>N68+E68</f>
        <v>275</v>
      </c>
      <c r="Q68" s="4">
        <v>4992</v>
      </c>
      <c r="R68" s="12">
        <v>32</v>
      </c>
      <c r="S68" s="2">
        <v>3889868176</v>
      </c>
      <c r="T68" s="2"/>
    </row>
    <row r="69" spans="1:20" s="5" customFormat="1" ht="12" x14ac:dyDescent="0.2">
      <c r="A69" s="3" t="s">
        <v>316</v>
      </c>
      <c r="B69" s="2" t="s">
        <v>53</v>
      </c>
      <c r="C69" s="8" t="s">
        <v>151</v>
      </c>
      <c r="D69" s="3">
        <v>60</v>
      </c>
      <c r="E69" s="3">
        <v>165</v>
      </c>
      <c r="F69" s="3">
        <v>300</v>
      </c>
      <c r="G69" s="3">
        <v>0</v>
      </c>
      <c r="H69" s="3">
        <v>0</v>
      </c>
      <c r="I69" s="3">
        <v>1</v>
      </c>
      <c r="J69" s="3">
        <v>15</v>
      </c>
      <c r="K69" s="3">
        <v>41</v>
      </c>
      <c r="L69" s="3">
        <v>55</v>
      </c>
      <c r="M69" s="3">
        <f>(G69*J69)+(H69*K69)+(I69*L69)</f>
        <v>55</v>
      </c>
      <c r="N69" s="20">
        <f>(D69/30)*M69</f>
        <v>110</v>
      </c>
      <c r="O69" s="21">
        <f>N69+((D69/30)*M69)</f>
        <v>220</v>
      </c>
      <c r="P69" s="19">
        <f>N69+E69</f>
        <v>275</v>
      </c>
      <c r="Q69" s="4">
        <v>4992</v>
      </c>
      <c r="R69" s="12">
        <v>32</v>
      </c>
      <c r="S69" s="2">
        <v>3889868176</v>
      </c>
      <c r="T69" s="2"/>
    </row>
    <row r="70" spans="1:20" s="5" customFormat="1" ht="12" x14ac:dyDescent="0.2">
      <c r="A70" s="3" t="s">
        <v>272</v>
      </c>
      <c r="B70" s="2" t="s">
        <v>56</v>
      </c>
      <c r="C70" s="8" t="s">
        <v>150</v>
      </c>
      <c r="D70" s="3">
        <v>32</v>
      </c>
      <c r="E70" s="3">
        <v>1000</v>
      </c>
      <c r="F70" s="3">
        <v>500</v>
      </c>
      <c r="G70" s="3">
        <v>0</v>
      </c>
      <c r="H70" s="3">
        <v>0</v>
      </c>
      <c r="I70" s="3">
        <v>2</v>
      </c>
      <c r="J70" s="3">
        <v>15</v>
      </c>
      <c r="K70" s="3">
        <v>41</v>
      </c>
      <c r="L70" s="3">
        <v>55</v>
      </c>
      <c r="M70" s="3">
        <f>(G70*J70)+(H70*K70)+(I70*L70)</f>
        <v>110</v>
      </c>
      <c r="N70" s="20">
        <f>(D70/30)*M70</f>
        <v>117.33333333333333</v>
      </c>
      <c r="O70" s="21">
        <f>N70+((D70/30)*M70)</f>
        <v>234.66666666666666</v>
      </c>
      <c r="P70" s="19">
        <v>1121</v>
      </c>
      <c r="Q70" s="4">
        <v>4984</v>
      </c>
      <c r="R70" s="12">
        <v>0.57999999999999996</v>
      </c>
      <c r="S70" s="2">
        <v>3831630646</v>
      </c>
      <c r="T70" s="2"/>
    </row>
    <row r="71" spans="1:20" s="5" customFormat="1" ht="12" x14ac:dyDescent="0.2">
      <c r="A71" s="3" t="s">
        <v>273</v>
      </c>
      <c r="B71" s="2" t="s">
        <v>57</v>
      </c>
      <c r="C71" s="8" t="s">
        <v>150</v>
      </c>
      <c r="D71" s="3">
        <v>32</v>
      </c>
      <c r="E71" s="3">
        <v>1000</v>
      </c>
      <c r="F71" s="3">
        <v>500</v>
      </c>
      <c r="G71" s="3">
        <v>0</v>
      </c>
      <c r="H71" s="3">
        <v>0</v>
      </c>
      <c r="I71" s="3">
        <v>1</v>
      </c>
      <c r="J71" s="3">
        <v>15</v>
      </c>
      <c r="K71" s="3">
        <v>41</v>
      </c>
      <c r="L71" s="3">
        <v>55</v>
      </c>
      <c r="M71" s="3">
        <f>(G71*J71)+(H71*K71)+(I71*L71)</f>
        <v>55</v>
      </c>
      <c r="N71" s="20">
        <f>(D71/30)*M71</f>
        <v>58.666666666666664</v>
      </c>
      <c r="O71" s="21">
        <f>N71+((D71/30)*M71)</f>
        <v>117.33333333333333</v>
      </c>
      <c r="P71" s="19">
        <v>1061</v>
      </c>
      <c r="Q71" s="4">
        <v>4992</v>
      </c>
      <c r="R71" s="12">
        <v>1.75</v>
      </c>
      <c r="S71" s="2">
        <v>3831630646</v>
      </c>
      <c r="T71" s="2"/>
    </row>
    <row r="72" spans="1:20" s="5" customFormat="1" ht="12" x14ac:dyDescent="0.2">
      <c r="A72" s="3" t="s">
        <v>274</v>
      </c>
      <c r="B72" s="2" t="s">
        <v>145</v>
      </c>
      <c r="C72" s="8" t="s">
        <v>150</v>
      </c>
      <c r="D72" s="3">
        <v>32</v>
      </c>
      <c r="E72" s="3">
        <v>1000</v>
      </c>
      <c r="F72" s="3">
        <v>500</v>
      </c>
      <c r="G72" s="3">
        <v>0</v>
      </c>
      <c r="H72" s="3">
        <v>2</v>
      </c>
      <c r="I72" s="3">
        <v>0</v>
      </c>
      <c r="J72" s="3">
        <v>15</v>
      </c>
      <c r="K72" s="3">
        <v>41</v>
      </c>
      <c r="L72" s="3">
        <v>55</v>
      </c>
      <c r="M72" s="3">
        <f>(G72*J72)+(H72*K72)+(I72*L72)</f>
        <v>82</v>
      </c>
      <c r="N72" s="20">
        <f>(D72/30)*M72</f>
        <v>87.466666666666669</v>
      </c>
      <c r="O72" s="21">
        <f>N72+((D72/30)*M72)</f>
        <v>174.93333333333334</v>
      </c>
      <c r="P72" s="19">
        <f>N72+E72</f>
        <v>1087.4666666666667</v>
      </c>
      <c r="Q72" s="4">
        <v>5000</v>
      </c>
      <c r="R72" s="12">
        <v>2.9</v>
      </c>
      <c r="S72" s="2">
        <v>3831630646</v>
      </c>
      <c r="T72" s="2"/>
    </row>
    <row r="73" spans="1:20" s="5" customFormat="1" ht="12" x14ac:dyDescent="0.2">
      <c r="A73" s="3" t="s">
        <v>275</v>
      </c>
      <c r="B73" s="2" t="s">
        <v>186</v>
      </c>
      <c r="C73" s="8" t="s">
        <v>150</v>
      </c>
      <c r="D73" s="3">
        <v>32</v>
      </c>
      <c r="E73" s="3">
        <v>1000</v>
      </c>
      <c r="F73" s="3">
        <v>500</v>
      </c>
      <c r="G73" s="3">
        <v>0</v>
      </c>
      <c r="H73" s="3">
        <v>0</v>
      </c>
      <c r="I73" s="3">
        <v>1</v>
      </c>
      <c r="J73" s="3">
        <v>15</v>
      </c>
      <c r="K73" s="3">
        <v>41</v>
      </c>
      <c r="L73" s="3">
        <v>55</v>
      </c>
      <c r="M73" s="3">
        <f>(G73*J73)+(H73*K73)+(I73*L73)</f>
        <v>55</v>
      </c>
      <c r="N73" s="20">
        <f>(D73/30)*M73</f>
        <v>58.666666666666664</v>
      </c>
      <c r="O73" s="21">
        <f>N73+((D73/30)*M73)</f>
        <v>117.33333333333333</v>
      </c>
      <c r="P73" s="19">
        <f>N73+E73</f>
        <v>1058.6666666666667</v>
      </c>
      <c r="Q73" s="4">
        <v>4992</v>
      </c>
      <c r="R73" s="12">
        <v>1.5</v>
      </c>
      <c r="S73" s="2">
        <v>3831630646</v>
      </c>
      <c r="T73" s="2"/>
    </row>
    <row r="74" spans="1:20" s="5" customFormat="1" ht="12" x14ac:dyDescent="0.2">
      <c r="A74" s="3" t="s">
        <v>276</v>
      </c>
      <c r="B74" s="2" t="s">
        <v>185</v>
      </c>
      <c r="C74" s="8" t="s">
        <v>150</v>
      </c>
      <c r="D74" s="3">
        <v>32</v>
      </c>
      <c r="E74" s="3">
        <v>1000</v>
      </c>
      <c r="F74" s="3">
        <v>500</v>
      </c>
      <c r="G74" s="3">
        <v>0</v>
      </c>
      <c r="H74" s="3">
        <v>1</v>
      </c>
      <c r="I74" s="3">
        <v>0</v>
      </c>
      <c r="J74" s="3">
        <v>15</v>
      </c>
      <c r="K74" s="3">
        <v>41</v>
      </c>
      <c r="L74" s="3">
        <v>55</v>
      </c>
      <c r="M74" s="3">
        <f>(G74*J74)+(H74*K74)+(I74*L74)</f>
        <v>41</v>
      </c>
      <c r="N74" s="20">
        <f>(D74/30)*M74</f>
        <v>43.733333333333334</v>
      </c>
      <c r="O74" s="21">
        <f>N74+((D74/30)*M74)</f>
        <v>87.466666666666669</v>
      </c>
      <c r="P74" s="19">
        <f>N74+E74</f>
        <v>1043.7333333333333</v>
      </c>
      <c r="Q74" s="4">
        <v>5000</v>
      </c>
      <c r="R74" s="12">
        <v>1.5</v>
      </c>
      <c r="S74" s="2">
        <v>3831630646</v>
      </c>
      <c r="T74" s="2"/>
    </row>
    <row r="75" spans="1:20" s="5" customFormat="1" ht="12" x14ac:dyDescent="0.2">
      <c r="A75" s="3" t="s">
        <v>277</v>
      </c>
      <c r="B75" s="2" t="s">
        <v>187</v>
      </c>
      <c r="C75" s="8" t="s">
        <v>150</v>
      </c>
      <c r="D75" s="3">
        <v>32</v>
      </c>
      <c r="E75" s="3">
        <v>1000</v>
      </c>
      <c r="F75" s="3">
        <v>500</v>
      </c>
      <c r="G75" s="3">
        <v>0</v>
      </c>
      <c r="H75" s="3">
        <v>1</v>
      </c>
      <c r="I75" s="3">
        <v>1</v>
      </c>
      <c r="J75" s="3">
        <v>15</v>
      </c>
      <c r="K75" s="3">
        <v>41</v>
      </c>
      <c r="L75" s="3">
        <v>55</v>
      </c>
      <c r="M75" s="3">
        <f>(G75*J75)+(H75*K75)+(I75*L75)</f>
        <v>96</v>
      </c>
      <c r="N75" s="20">
        <f>(D75/30)*M75</f>
        <v>102.4</v>
      </c>
      <c r="O75" s="21">
        <f>N75+((D75/30)*M75)</f>
        <v>204.8</v>
      </c>
      <c r="P75" s="19">
        <f>N75+E75</f>
        <v>1102.4000000000001</v>
      </c>
      <c r="Q75" s="4">
        <v>4992</v>
      </c>
      <c r="R75" s="12">
        <v>1.5</v>
      </c>
      <c r="S75" s="2">
        <v>3831630646</v>
      </c>
      <c r="T75" s="2"/>
    </row>
    <row r="76" spans="1:20" s="5" customFormat="1" ht="12" x14ac:dyDescent="0.2">
      <c r="A76" s="3" t="s">
        <v>278</v>
      </c>
      <c r="B76" s="2" t="s">
        <v>188</v>
      </c>
      <c r="C76" s="8" t="s">
        <v>150</v>
      </c>
      <c r="D76" s="3">
        <v>32</v>
      </c>
      <c r="E76" s="3">
        <v>1000</v>
      </c>
      <c r="F76" s="3">
        <v>500</v>
      </c>
      <c r="G76" s="3">
        <v>0</v>
      </c>
      <c r="H76" s="3">
        <v>1</v>
      </c>
      <c r="I76" s="3">
        <v>1</v>
      </c>
      <c r="J76" s="3">
        <v>15</v>
      </c>
      <c r="K76" s="3">
        <v>41</v>
      </c>
      <c r="L76" s="3">
        <v>55</v>
      </c>
      <c r="M76" s="3">
        <f>(G76*J76)+(H76*K76)+(I76*L76)</f>
        <v>96</v>
      </c>
      <c r="N76" s="20">
        <f>(D76/30)*M76</f>
        <v>102.4</v>
      </c>
      <c r="O76" s="21">
        <f>N76+((D76/30)*M76)</f>
        <v>204.8</v>
      </c>
      <c r="P76" s="19">
        <f>N76+E76</f>
        <v>1102.4000000000001</v>
      </c>
      <c r="Q76" s="4">
        <v>4992</v>
      </c>
      <c r="R76" s="12">
        <v>1.5</v>
      </c>
      <c r="S76" s="2">
        <v>3831630646</v>
      </c>
      <c r="T76" s="2"/>
    </row>
    <row r="77" spans="1:20" s="5" customFormat="1" ht="12" x14ac:dyDescent="0.2">
      <c r="A77" s="3" t="s">
        <v>279</v>
      </c>
      <c r="B77" s="2" t="s">
        <v>189</v>
      </c>
      <c r="C77" s="8" t="s">
        <v>150</v>
      </c>
      <c r="D77" s="3">
        <v>32</v>
      </c>
      <c r="E77" s="3">
        <v>1000</v>
      </c>
      <c r="F77" s="3">
        <v>500</v>
      </c>
      <c r="G77" s="3">
        <v>0</v>
      </c>
      <c r="H77" s="3">
        <v>2</v>
      </c>
      <c r="I77" s="3">
        <v>2</v>
      </c>
      <c r="J77" s="3">
        <v>15</v>
      </c>
      <c r="K77" s="3">
        <v>41</v>
      </c>
      <c r="L77" s="3">
        <v>55</v>
      </c>
      <c r="M77" s="3">
        <f>(G77*J77)+(H77*K77)+(I77*L77)</f>
        <v>192</v>
      </c>
      <c r="N77" s="20">
        <f>(D77/30)*M77</f>
        <v>204.8</v>
      </c>
      <c r="O77" s="21">
        <f>N77+((D77/30)*M77)</f>
        <v>409.6</v>
      </c>
      <c r="P77" s="19">
        <f>N77+E77</f>
        <v>1204.8</v>
      </c>
      <c r="Q77" s="4">
        <v>4984</v>
      </c>
      <c r="R77" s="12">
        <v>1.5</v>
      </c>
      <c r="S77" s="2">
        <v>3831630646</v>
      </c>
      <c r="T77" s="2"/>
    </row>
    <row r="78" spans="1:20" s="5" customFormat="1" ht="12" x14ac:dyDescent="0.2">
      <c r="A78" s="3" t="s">
        <v>280</v>
      </c>
      <c r="B78" s="2" t="s">
        <v>190</v>
      </c>
      <c r="C78" s="8" t="s">
        <v>150</v>
      </c>
      <c r="D78" s="3">
        <v>32</v>
      </c>
      <c r="E78" s="3">
        <v>1300</v>
      </c>
      <c r="F78" s="3">
        <v>2600</v>
      </c>
      <c r="G78" s="3">
        <v>0</v>
      </c>
      <c r="H78" s="3">
        <v>2</v>
      </c>
      <c r="I78" s="3">
        <v>1</v>
      </c>
      <c r="J78" s="3">
        <v>15</v>
      </c>
      <c r="K78" s="3">
        <v>41</v>
      </c>
      <c r="L78" s="3">
        <v>55</v>
      </c>
      <c r="M78" s="3">
        <f>(G78*J78)+(H78*K78)+(I78*L78)</f>
        <v>137</v>
      </c>
      <c r="N78" s="20">
        <f>(D78/30)*M78</f>
        <v>146.13333333333333</v>
      </c>
      <c r="O78" s="21">
        <f>N78+((D78/30)*M78)</f>
        <v>292.26666666666665</v>
      </c>
      <c r="P78" s="19">
        <f>N78+E78</f>
        <v>1446.1333333333332</v>
      </c>
      <c r="Q78" s="4">
        <v>4992</v>
      </c>
      <c r="R78" s="12">
        <v>1.5</v>
      </c>
      <c r="S78" s="2">
        <v>3831630646</v>
      </c>
      <c r="T78" s="2"/>
    </row>
    <row r="79" spans="1:20" s="5" customFormat="1" ht="12" x14ac:dyDescent="0.2">
      <c r="A79" s="3" t="s">
        <v>281</v>
      </c>
      <c r="B79" s="2" t="s">
        <v>35</v>
      </c>
      <c r="C79" s="8" t="s">
        <v>150</v>
      </c>
      <c r="D79" s="3">
        <v>32</v>
      </c>
      <c r="E79" s="3">
        <v>1000</v>
      </c>
      <c r="F79" s="3">
        <v>1000</v>
      </c>
      <c r="G79" s="3">
        <v>0</v>
      </c>
      <c r="H79" s="3">
        <v>2</v>
      </c>
      <c r="I79" s="3">
        <v>2</v>
      </c>
      <c r="J79" s="3">
        <v>15</v>
      </c>
      <c r="K79" s="3">
        <v>41</v>
      </c>
      <c r="L79" s="3">
        <v>55</v>
      </c>
      <c r="M79" s="3">
        <f>(G79*J79)+(H79*K79)+(I79*L79)</f>
        <v>192</v>
      </c>
      <c r="N79" s="20">
        <f>(D79/30)*M79</f>
        <v>204.8</v>
      </c>
      <c r="O79" s="21">
        <f>N79+((D79/30)*M79)</f>
        <v>409.6</v>
      </c>
      <c r="P79" s="19">
        <f>N79+E79</f>
        <v>1204.8</v>
      </c>
      <c r="Q79" s="4">
        <v>4984</v>
      </c>
      <c r="R79" s="12">
        <v>1.1000000000000001</v>
      </c>
      <c r="S79" s="2">
        <v>3831630646</v>
      </c>
      <c r="T79" s="2"/>
    </row>
    <row r="80" spans="1:20" s="5" customFormat="1" ht="12" x14ac:dyDescent="0.2">
      <c r="A80" s="3" t="s">
        <v>282</v>
      </c>
      <c r="B80" s="2" t="s">
        <v>38</v>
      </c>
      <c r="C80" s="8" t="s">
        <v>150</v>
      </c>
      <c r="D80" s="3">
        <v>32</v>
      </c>
      <c r="E80" s="3">
        <v>1000</v>
      </c>
      <c r="F80" s="3">
        <v>1000</v>
      </c>
      <c r="G80" s="3">
        <v>0</v>
      </c>
      <c r="H80" s="3">
        <v>2</v>
      </c>
      <c r="I80" s="3">
        <v>2</v>
      </c>
      <c r="J80" s="3">
        <v>15</v>
      </c>
      <c r="K80" s="3">
        <v>41</v>
      </c>
      <c r="L80" s="3">
        <v>55</v>
      </c>
      <c r="M80" s="3">
        <f>(G80*J80)+(H80*K80)+(I80*L80)</f>
        <v>192</v>
      </c>
      <c r="N80" s="20">
        <f>(D80/30)*M80</f>
        <v>204.8</v>
      </c>
      <c r="O80" s="21">
        <f>N80+((D80/30)*M80)</f>
        <v>409.6</v>
      </c>
      <c r="P80" s="19">
        <v>1206</v>
      </c>
      <c r="Q80" s="4">
        <v>4984</v>
      </c>
      <c r="R80" s="12">
        <v>1.85</v>
      </c>
      <c r="S80" s="2">
        <v>3831630646</v>
      </c>
      <c r="T80" s="2"/>
    </row>
    <row r="81" spans="1:20" s="5" customFormat="1" ht="12" x14ac:dyDescent="0.2">
      <c r="A81" s="3" t="s">
        <v>283</v>
      </c>
      <c r="B81" s="2" t="s">
        <v>40</v>
      </c>
      <c r="C81" s="8" t="s">
        <v>150</v>
      </c>
      <c r="D81" s="3">
        <v>32</v>
      </c>
      <c r="E81" s="3">
        <v>1000</v>
      </c>
      <c r="F81" s="3">
        <v>500</v>
      </c>
      <c r="G81" s="3">
        <v>0</v>
      </c>
      <c r="H81" s="3">
        <v>1</v>
      </c>
      <c r="I81" s="3">
        <v>1</v>
      </c>
      <c r="J81" s="3">
        <v>15</v>
      </c>
      <c r="K81" s="3">
        <v>41</v>
      </c>
      <c r="L81" s="3">
        <v>55</v>
      </c>
      <c r="M81" s="3">
        <f>(G81*J81)+(H81*K81)+(I81*L81)</f>
        <v>96</v>
      </c>
      <c r="N81" s="20">
        <f>(D81/30)*M81</f>
        <v>102.4</v>
      </c>
      <c r="O81" s="21">
        <f>N81+((D81/30)*M81)</f>
        <v>204.8</v>
      </c>
      <c r="P81" s="19">
        <f>N81+E81</f>
        <v>1102.4000000000001</v>
      </c>
      <c r="Q81" s="4">
        <v>4992</v>
      </c>
      <c r="R81" s="12">
        <v>2.85</v>
      </c>
      <c r="S81" s="2">
        <v>3831630646</v>
      </c>
      <c r="T81" s="2"/>
    </row>
    <row r="82" spans="1:20" s="5" customFormat="1" ht="12" x14ac:dyDescent="0.2">
      <c r="A82" s="3" t="s">
        <v>284</v>
      </c>
      <c r="B82" s="2" t="s">
        <v>47</v>
      </c>
      <c r="C82" s="8" t="s">
        <v>152</v>
      </c>
      <c r="D82" s="3">
        <v>56</v>
      </c>
      <c r="E82" s="3">
        <v>90</v>
      </c>
      <c r="F82" s="3">
        <v>200</v>
      </c>
      <c r="G82" s="3">
        <v>0</v>
      </c>
      <c r="H82" s="3">
        <v>1</v>
      </c>
      <c r="I82" s="3">
        <v>0</v>
      </c>
      <c r="J82" s="3">
        <v>15</v>
      </c>
      <c r="K82" s="3">
        <v>41</v>
      </c>
      <c r="L82" s="3">
        <v>55</v>
      </c>
      <c r="M82" s="3">
        <f>(G82*J82)+(H82*K82)+(I82*L82)</f>
        <v>41</v>
      </c>
      <c r="N82" s="20">
        <f>(D82/30)*M82</f>
        <v>76.533333333333331</v>
      </c>
      <c r="O82" s="21">
        <f>N82+((D82/30)*M82)</f>
        <v>153.06666666666666</v>
      </c>
      <c r="P82" s="19">
        <f>N82+E82</f>
        <v>166.53333333333333</v>
      </c>
      <c r="Q82" s="4">
        <v>5000</v>
      </c>
      <c r="R82" s="12">
        <v>120</v>
      </c>
      <c r="S82" s="2">
        <v>2204408879</v>
      </c>
      <c r="T82" s="2"/>
    </row>
    <row r="83" spans="1:20" s="5" customFormat="1" ht="12" x14ac:dyDescent="0.2">
      <c r="A83" s="3" t="s">
        <v>285</v>
      </c>
      <c r="B83" s="2" t="s">
        <v>36</v>
      </c>
      <c r="C83" s="8" t="s">
        <v>150</v>
      </c>
      <c r="D83" s="3">
        <v>32</v>
      </c>
      <c r="E83" s="3">
        <v>1000</v>
      </c>
      <c r="F83" s="3">
        <v>350</v>
      </c>
      <c r="G83" s="3">
        <v>0</v>
      </c>
      <c r="H83" s="3">
        <v>1</v>
      </c>
      <c r="I83" s="3">
        <v>0</v>
      </c>
      <c r="J83" s="3">
        <v>15</v>
      </c>
      <c r="K83" s="3">
        <v>41</v>
      </c>
      <c r="L83" s="3">
        <v>55</v>
      </c>
      <c r="M83" s="3">
        <f>(G83*J83)+(H83*K83)+(I83*L83)</f>
        <v>41</v>
      </c>
      <c r="N83" s="20">
        <f>(D83/30)*M83</f>
        <v>43.733333333333334</v>
      </c>
      <c r="O83" s="21">
        <f>N83+((D83/30)*M83)</f>
        <v>87.466666666666669</v>
      </c>
      <c r="P83" s="19">
        <f>N83+E83</f>
        <v>1043.7333333333333</v>
      </c>
      <c r="Q83" s="4">
        <v>5000</v>
      </c>
      <c r="R83" s="12">
        <v>2.04</v>
      </c>
      <c r="S83" s="2">
        <v>3831630646</v>
      </c>
      <c r="T83" s="2"/>
    </row>
    <row r="84" spans="1:20" s="5" customFormat="1" ht="12" x14ac:dyDescent="0.2">
      <c r="A84" s="3" t="s">
        <v>286</v>
      </c>
      <c r="B84" s="2" t="s">
        <v>37</v>
      </c>
      <c r="C84" s="8" t="s">
        <v>150</v>
      </c>
      <c r="D84" s="3">
        <v>32</v>
      </c>
      <c r="E84" s="3">
        <v>1000</v>
      </c>
      <c r="F84" s="3">
        <v>350</v>
      </c>
      <c r="G84" s="3">
        <v>0</v>
      </c>
      <c r="H84" s="3">
        <v>1</v>
      </c>
      <c r="I84" s="3">
        <v>0</v>
      </c>
      <c r="J84" s="3">
        <v>15</v>
      </c>
      <c r="K84" s="3">
        <v>41</v>
      </c>
      <c r="L84" s="3">
        <v>55</v>
      </c>
      <c r="M84" s="3">
        <f>(G84*J84)+(H84*K84)+(I84*L84)</f>
        <v>41</v>
      </c>
      <c r="N84" s="20">
        <f>(D84/30)*M84</f>
        <v>43.733333333333334</v>
      </c>
      <c r="O84" s="21">
        <f>N84+((D84/30)*M84)</f>
        <v>87.466666666666669</v>
      </c>
      <c r="P84" s="19">
        <f>N84+E84</f>
        <v>1043.7333333333333</v>
      </c>
      <c r="Q84" s="4">
        <v>5000</v>
      </c>
      <c r="R84" s="12">
        <v>1.31</v>
      </c>
      <c r="S84" s="2">
        <v>3831630646</v>
      </c>
      <c r="T84" s="2"/>
    </row>
    <row r="85" spans="1:20" s="5" customFormat="1" ht="12" x14ac:dyDescent="0.2">
      <c r="A85" s="3" t="s">
        <v>287</v>
      </c>
      <c r="B85" s="2" t="s">
        <v>39</v>
      </c>
      <c r="C85" s="8" t="s">
        <v>150</v>
      </c>
      <c r="D85" s="3">
        <v>32</v>
      </c>
      <c r="E85" s="3">
        <v>1000</v>
      </c>
      <c r="F85" s="3">
        <v>1000</v>
      </c>
      <c r="G85" s="3">
        <v>0</v>
      </c>
      <c r="H85" s="3">
        <v>4</v>
      </c>
      <c r="I85" s="3">
        <v>0</v>
      </c>
      <c r="J85" s="3">
        <v>15</v>
      </c>
      <c r="K85" s="3">
        <v>41</v>
      </c>
      <c r="L85" s="3">
        <v>55</v>
      </c>
      <c r="M85" s="3">
        <f>(G85*J85)+(H85*K85)+(I85*L85)</f>
        <v>164</v>
      </c>
      <c r="N85" s="20">
        <f>(D85/30)*M85</f>
        <v>174.93333333333334</v>
      </c>
      <c r="O85" s="21">
        <f>N85+((D85/30)*M85)</f>
        <v>349.86666666666667</v>
      </c>
      <c r="P85" s="19">
        <v>1177</v>
      </c>
      <c r="Q85" s="4">
        <v>5000</v>
      </c>
      <c r="R85" s="12">
        <v>0.9</v>
      </c>
      <c r="S85" s="2">
        <v>3831630646</v>
      </c>
      <c r="T85" s="2"/>
    </row>
    <row r="86" spans="1:20" s="5" customFormat="1" ht="12" x14ac:dyDescent="0.2">
      <c r="A86" s="3" t="s">
        <v>288</v>
      </c>
      <c r="B86" s="2" t="s">
        <v>51</v>
      </c>
      <c r="C86" s="8" t="s">
        <v>151</v>
      </c>
      <c r="D86" s="3">
        <v>60</v>
      </c>
      <c r="E86" s="3">
        <v>123</v>
      </c>
      <c r="F86" s="3">
        <v>200</v>
      </c>
      <c r="G86" s="3">
        <v>0</v>
      </c>
      <c r="H86" s="3">
        <v>1</v>
      </c>
      <c r="I86" s="3">
        <v>0</v>
      </c>
      <c r="J86" s="3">
        <v>15</v>
      </c>
      <c r="K86" s="3">
        <v>41</v>
      </c>
      <c r="L86" s="3">
        <v>55</v>
      </c>
      <c r="M86" s="3">
        <f>(G86*J86)+(H86*K86)+(I86*L86)</f>
        <v>41</v>
      </c>
      <c r="N86" s="20">
        <f>(D86/30)*M86</f>
        <v>82</v>
      </c>
      <c r="O86" s="21">
        <f>N86+((D86/30)*M86)</f>
        <v>164</v>
      </c>
      <c r="P86" s="19">
        <f>N86+E86</f>
        <v>205</v>
      </c>
      <c r="Q86" s="4">
        <v>5000</v>
      </c>
      <c r="R86" s="12">
        <v>23.8</v>
      </c>
      <c r="S86" s="2">
        <v>3889868176</v>
      </c>
      <c r="T86" s="2"/>
    </row>
    <row r="87" spans="1:20" s="5" customFormat="1" ht="12" x14ac:dyDescent="0.2">
      <c r="A87" s="3" t="s">
        <v>304</v>
      </c>
      <c r="B87" s="2" t="s">
        <v>52</v>
      </c>
      <c r="C87" s="8" t="s">
        <v>151</v>
      </c>
      <c r="D87" s="3">
        <v>60</v>
      </c>
      <c r="E87" s="3">
        <v>123</v>
      </c>
      <c r="F87" s="3">
        <v>200</v>
      </c>
      <c r="G87" s="3">
        <v>0</v>
      </c>
      <c r="H87" s="3">
        <v>1</v>
      </c>
      <c r="I87" s="3">
        <v>0</v>
      </c>
      <c r="J87" s="3">
        <v>15</v>
      </c>
      <c r="K87" s="3">
        <v>41</v>
      </c>
      <c r="L87" s="3">
        <v>55</v>
      </c>
      <c r="M87" s="3">
        <f>(G87*J87)+(H87*K87)+(I87*L87)</f>
        <v>41</v>
      </c>
      <c r="N87" s="20">
        <f>(D87/30)*M87</f>
        <v>82</v>
      </c>
      <c r="O87" s="21">
        <f>N87+((D87/30)*M87)</f>
        <v>164</v>
      </c>
      <c r="P87" s="19">
        <f>N87+E87</f>
        <v>205</v>
      </c>
      <c r="Q87" s="4">
        <v>5000</v>
      </c>
      <c r="R87" s="12">
        <v>23.8</v>
      </c>
      <c r="S87" s="2">
        <v>3889868176</v>
      </c>
      <c r="T87" s="2"/>
    </row>
    <row r="88" spans="1:20" s="5" customFormat="1" ht="12" x14ac:dyDescent="0.2">
      <c r="A88" s="3" t="s">
        <v>303</v>
      </c>
      <c r="B88" s="2" t="s">
        <v>53</v>
      </c>
      <c r="C88" s="8" t="s">
        <v>151</v>
      </c>
      <c r="D88" s="3">
        <v>60</v>
      </c>
      <c r="E88" s="3">
        <v>123</v>
      </c>
      <c r="F88" s="3">
        <v>200</v>
      </c>
      <c r="G88" s="3">
        <v>0</v>
      </c>
      <c r="H88" s="3">
        <v>1</v>
      </c>
      <c r="I88" s="3">
        <v>0</v>
      </c>
      <c r="J88" s="3">
        <v>15</v>
      </c>
      <c r="K88" s="3">
        <v>41</v>
      </c>
      <c r="L88" s="3">
        <v>55</v>
      </c>
      <c r="M88" s="3">
        <f>(G88*J88)+(H88*K88)+(I88*L88)</f>
        <v>41</v>
      </c>
      <c r="N88" s="20">
        <f>(D88/30)*M88</f>
        <v>82</v>
      </c>
      <c r="O88" s="21">
        <f>N88+((D88/30)*M88)</f>
        <v>164</v>
      </c>
      <c r="P88" s="19">
        <f>N88+E88</f>
        <v>205</v>
      </c>
      <c r="Q88" s="4">
        <v>5000</v>
      </c>
      <c r="R88" s="12">
        <v>23.8</v>
      </c>
      <c r="S88" s="2">
        <v>3889868176</v>
      </c>
      <c r="T88" s="2"/>
    </row>
    <row r="89" spans="1:20" s="5" customFormat="1" ht="12" x14ac:dyDescent="0.2">
      <c r="A89" s="3" t="s">
        <v>302</v>
      </c>
      <c r="B89" s="2" t="s">
        <v>58</v>
      </c>
      <c r="C89" s="8" t="s">
        <v>150</v>
      </c>
      <c r="D89" s="3">
        <v>32</v>
      </c>
      <c r="E89" s="3">
        <v>1000</v>
      </c>
      <c r="F89" s="3">
        <v>1000</v>
      </c>
      <c r="G89" s="3">
        <v>0</v>
      </c>
      <c r="H89" s="3">
        <v>1</v>
      </c>
      <c r="I89" s="3">
        <v>1</v>
      </c>
      <c r="J89" s="3">
        <v>15</v>
      </c>
      <c r="K89" s="3">
        <v>41</v>
      </c>
      <c r="L89" s="3">
        <v>55</v>
      </c>
      <c r="M89" s="3">
        <f>(G89*J89)+(H89*K89)+(I89*L89)</f>
        <v>96</v>
      </c>
      <c r="N89" s="20">
        <f>(D89/30)*M89</f>
        <v>102.4</v>
      </c>
      <c r="O89" s="21">
        <f>N89+((D89/30)*M89)</f>
        <v>204.8</v>
      </c>
      <c r="P89" s="19">
        <f>N89+E89</f>
        <v>1102.4000000000001</v>
      </c>
      <c r="Q89" s="4">
        <v>4992</v>
      </c>
      <c r="R89" s="12">
        <v>1.47</v>
      </c>
      <c r="S89" s="2">
        <v>3831630646</v>
      </c>
      <c r="T89" s="2"/>
    </row>
    <row r="90" spans="1:20" s="5" customFormat="1" ht="12" x14ac:dyDescent="0.2">
      <c r="A90" s="3" t="s">
        <v>301</v>
      </c>
      <c r="B90" s="2" t="s">
        <v>48</v>
      </c>
      <c r="C90" s="8" t="s">
        <v>150</v>
      </c>
      <c r="D90" s="3">
        <v>32</v>
      </c>
      <c r="E90" s="3">
        <v>1000</v>
      </c>
      <c r="F90" s="3">
        <v>350</v>
      </c>
      <c r="G90" s="3">
        <v>0</v>
      </c>
      <c r="H90" s="3">
        <v>1</v>
      </c>
      <c r="I90" s="3">
        <v>0</v>
      </c>
      <c r="J90" s="3">
        <v>15</v>
      </c>
      <c r="K90" s="3">
        <v>41</v>
      </c>
      <c r="L90" s="3">
        <v>55</v>
      </c>
      <c r="M90" s="3">
        <f>(G90*J90)+(H90*K90)+(I90*L90)</f>
        <v>41</v>
      </c>
      <c r="N90" s="20">
        <f>(D90/30)*M90</f>
        <v>43.733333333333334</v>
      </c>
      <c r="O90" s="21">
        <f>N90+((D90/30)*M90)</f>
        <v>87.466666666666669</v>
      </c>
      <c r="P90" s="19">
        <f>N90+E90</f>
        <v>1043.7333333333333</v>
      </c>
      <c r="Q90" s="4">
        <v>5000</v>
      </c>
      <c r="R90" s="12">
        <v>1.05</v>
      </c>
      <c r="S90" s="2">
        <v>3831630646</v>
      </c>
      <c r="T90" s="2"/>
    </row>
    <row r="91" spans="1:20" s="5" customFormat="1" ht="12" x14ac:dyDescent="0.2">
      <c r="A91" s="3" t="s">
        <v>300</v>
      </c>
      <c r="B91" s="2" t="s">
        <v>59</v>
      </c>
      <c r="C91" s="8" t="s">
        <v>150</v>
      </c>
      <c r="D91" s="3">
        <v>32</v>
      </c>
      <c r="E91" s="3">
        <v>1000</v>
      </c>
      <c r="F91" s="3">
        <v>1000</v>
      </c>
      <c r="G91" s="3">
        <v>0</v>
      </c>
      <c r="H91" s="3">
        <v>2</v>
      </c>
      <c r="I91" s="3">
        <v>2</v>
      </c>
      <c r="J91" s="3">
        <v>15</v>
      </c>
      <c r="K91" s="3">
        <v>41</v>
      </c>
      <c r="L91" s="3">
        <v>55</v>
      </c>
      <c r="M91" s="3">
        <f>(G91*J91)+(H91*K91)+(I91*L91)</f>
        <v>192</v>
      </c>
      <c r="N91" s="20">
        <f>(D91/30)*M91</f>
        <v>204.8</v>
      </c>
      <c r="O91" s="21">
        <f>N91+((D91/30)*M91)</f>
        <v>409.6</v>
      </c>
      <c r="P91" s="19">
        <f>N91+E91</f>
        <v>1204.8</v>
      </c>
      <c r="Q91" s="4">
        <v>4984</v>
      </c>
      <c r="R91" s="12">
        <v>0.9</v>
      </c>
      <c r="S91" s="2">
        <v>3831630646</v>
      </c>
      <c r="T91" s="2"/>
    </row>
    <row r="92" spans="1:20" s="5" customFormat="1" ht="12" x14ac:dyDescent="0.2">
      <c r="A92" s="3" t="s">
        <v>299</v>
      </c>
      <c r="B92" s="2" t="s">
        <v>60</v>
      </c>
      <c r="C92" s="8" t="s">
        <v>150</v>
      </c>
      <c r="D92" s="3">
        <v>32</v>
      </c>
      <c r="E92" s="3">
        <v>1000</v>
      </c>
      <c r="F92" s="3">
        <v>1000</v>
      </c>
      <c r="G92" s="3">
        <v>0</v>
      </c>
      <c r="H92" s="3">
        <v>2</v>
      </c>
      <c r="I92" s="3">
        <v>2</v>
      </c>
      <c r="J92" s="3">
        <v>15</v>
      </c>
      <c r="K92" s="3">
        <v>41</v>
      </c>
      <c r="L92" s="3">
        <v>55</v>
      </c>
      <c r="M92" s="3">
        <f>(G92*J92)+(H92*K92)+(I92*L92)</f>
        <v>192</v>
      </c>
      <c r="N92" s="20">
        <f>(D92/30)*M92</f>
        <v>204.8</v>
      </c>
      <c r="O92" s="21">
        <f>N92+((D92/30)*M92)</f>
        <v>409.6</v>
      </c>
      <c r="P92" s="19">
        <f>N92+E92</f>
        <v>1204.8</v>
      </c>
      <c r="Q92" s="4">
        <v>4984</v>
      </c>
      <c r="R92" s="12">
        <v>2.75</v>
      </c>
      <c r="S92" s="2">
        <v>3831630646</v>
      </c>
      <c r="T92" s="2"/>
    </row>
    <row r="93" spans="1:20" s="5" customFormat="1" ht="12" x14ac:dyDescent="0.2">
      <c r="A93" s="3" t="s">
        <v>298</v>
      </c>
      <c r="B93" s="2" t="s">
        <v>62</v>
      </c>
      <c r="C93" s="8" t="s">
        <v>150</v>
      </c>
      <c r="D93" s="3">
        <v>32</v>
      </c>
      <c r="E93" s="3">
        <v>1000</v>
      </c>
      <c r="F93" s="3">
        <v>1000</v>
      </c>
      <c r="G93" s="3">
        <v>0</v>
      </c>
      <c r="H93" s="3">
        <v>1</v>
      </c>
      <c r="I93" s="3">
        <v>1</v>
      </c>
      <c r="J93" s="3">
        <v>15</v>
      </c>
      <c r="K93" s="3">
        <v>41</v>
      </c>
      <c r="L93" s="3">
        <v>55</v>
      </c>
      <c r="M93" s="3">
        <f>(G93*J93)+(H93*K93)+(I93*L93)</f>
        <v>96</v>
      </c>
      <c r="N93" s="20">
        <f>(D93/30)*M93</f>
        <v>102.4</v>
      </c>
      <c r="O93" s="21">
        <f>N93+((D93/30)*M93)</f>
        <v>204.8</v>
      </c>
      <c r="P93" s="19">
        <f>N93+E93</f>
        <v>1102.4000000000001</v>
      </c>
      <c r="Q93" s="4">
        <v>4992</v>
      </c>
      <c r="R93" s="12">
        <v>1.73</v>
      </c>
      <c r="S93" s="2">
        <v>3831630646</v>
      </c>
      <c r="T93" s="2"/>
    </row>
    <row r="94" spans="1:20" s="5" customFormat="1" ht="12" x14ac:dyDescent="0.2">
      <c r="A94" s="3" t="s">
        <v>297</v>
      </c>
      <c r="B94" s="2" t="s">
        <v>63</v>
      </c>
      <c r="C94" s="8" t="s">
        <v>150</v>
      </c>
      <c r="D94" s="3">
        <v>32</v>
      </c>
      <c r="E94" s="3">
        <v>1000</v>
      </c>
      <c r="F94" s="3">
        <v>1000</v>
      </c>
      <c r="G94" s="3">
        <v>0</v>
      </c>
      <c r="H94" s="3">
        <v>2</v>
      </c>
      <c r="I94" s="3">
        <v>2</v>
      </c>
      <c r="J94" s="3">
        <v>15</v>
      </c>
      <c r="K94" s="3">
        <v>41</v>
      </c>
      <c r="L94" s="3">
        <v>55</v>
      </c>
      <c r="M94" s="3">
        <f>(G94*J94)+(H94*K94)+(I94*L94)</f>
        <v>192</v>
      </c>
      <c r="N94" s="20">
        <f>(D94/30)*M94</f>
        <v>204.8</v>
      </c>
      <c r="O94" s="21">
        <f>N94+((D94/30)*M94)</f>
        <v>409.6</v>
      </c>
      <c r="P94" s="19">
        <f>N94+E94</f>
        <v>1204.8</v>
      </c>
      <c r="Q94" s="4">
        <v>4984</v>
      </c>
      <c r="R94" s="12">
        <v>0.45</v>
      </c>
      <c r="S94" s="2">
        <v>3831630646</v>
      </c>
      <c r="T94" s="2"/>
    </row>
    <row r="95" spans="1:20" s="5" customFormat="1" ht="12" x14ac:dyDescent="0.2">
      <c r="A95" s="3" t="s">
        <v>296</v>
      </c>
      <c r="B95" s="2" t="s">
        <v>56</v>
      </c>
      <c r="C95" s="8" t="s">
        <v>150</v>
      </c>
      <c r="D95" s="3">
        <v>32</v>
      </c>
      <c r="E95" s="3">
        <v>1000</v>
      </c>
      <c r="F95" s="3">
        <v>500</v>
      </c>
      <c r="G95" s="3">
        <v>0</v>
      </c>
      <c r="H95" s="3">
        <v>2</v>
      </c>
      <c r="I95" s="3">
        <v>0</v>
      </c>
      <c r="J95" s="3">
        <v>15</v>
      </c>
      <c r="K95" s="3">
        <v>41</v>
      </c>
      <c r="L95" s="3">
        <v>55</v>
      </c>
      <c r="M95" s="3">
        <f>(G95*J95)+(H95*K95)+(I95*L95)</f>
        <v>82</v>
      </c>
      <c r="N95" s="20">
        <f>(D95/30)*M95</f>
        <v>87.466666666666669</v>
      </c>
      <c r="O95" s="21">
        <f>N95+((D95/30)*M95)</f>
        <v>174.93333333333334</v>
      </c>
      <c r="P95" s="19">
        <f>N95+E95</f>
        <v>1087.4666666666667</v>
      </c>
      <c r="Q95" s="4">
        <v>5000</v>
      </c>
      <c r="R95" s="12">
        <v>0.57999999999999996</v>
      </c>
      <c r="S95" s="2">
        <v>3831630646</v>
      </c>
      <c r="T95" s="2"/>
    </row>
    <row r="96" spans="1:20" s="5" customFormat="1" ht="12" x14ac:dyDescent="0.2">
      <c r="A96" s="3" t="s">
        <v>295</v>
      </c>
      <c r="B96" s="2" t="s">
        <v>201</v>
      </c>
      <c r="C96" s="8" t="s">
        <v>150</v>
      </c>
      <c r="D96" s="3">
        <v>32</v>
      </c>
      <c r="E96" s="3">
        <v>1000</v>
      </c>
      <c r="F96" s="3">
        <v>350</v>
      </c>
      <c r="G96" s="3">
        <v>0</v>
      </c>
      <c r="H96" s="3">
        <v>1</v>
      </c>
      <c r="I96" s="3">
        <v>0</v>
      </c>
      <c r="J96" s="3">
        <v>15</v>
      </c>
      <c r="K96" s="3">
        <v>41</v>
      </c>
      <c r="L96" s="3">
        <v>55</v>
      </c>
      <c r="M96" s="3">
        <f>(G96*J96)+(H96*K96)+(I96*L96)</f>
        <v>41</v>
      </c>
      <c r="N96" s="20">
        <f>(D96/30)*M96</f>
        <v>43.733333333333334</v>
      </c>
      <c r="O96" s="21">
        <f>N96+((D96/30)*M96)</f>
        <v>87.466666666666669</v>
      </c>
      <c r="P96" s="19">
        <f>N96+E96</f>
        <v>1043.7333333333333</v>
      </c>
      <c r="Q96" s="4">
        <v>5000</v>
      </c>
      <c r="R96" s="12">
        <v>1.75</v>
      </c>
      <c r="S96" s="2">
        <v>3831630646</v>
      </c>
      <c r="T96" s="2"/>
    </row>
    <row r="97" spans="1:20" s="5" customFormat="1" ht="12" x14ac:dyDescent="0.2">
      <c r="A97" s="3" t="s">
        <v>294</v>
      </c>
      <c r="B97" s="2" t="s">
        <v>49</v>
      </c>
      <c r="C97" s="8" t="s">
        <v>150</v>
      </c>
      <c r="D97" s="3">
        <v>32</v>
      </c>
      <c r="E97" s="3">
        <v>1000</v>
      </c>
      <c r="F97" s="3">
        <v>1000</v>
      </c>
      <c r="G97" s="3">
        <v>0</v>
      </c>
      <c r="H97" s="3">
        <v>2</v>
      </c>
      <c r="I97" s="3">
        <v>2</v>
      </c>
      <c r="J97" s="3">
        <v>15</v>
      </c>
      <c r="K97" s="3">
        <v>41</v>
      </c>
      <c r="L97" s="3">
        <v>55</v>
      </c>
      <c r="M97" s="3">
        <f>(G97*J97)+(H97*K97)+(I97*L97)</f>
        <v>192</v>
      </c>
      <c r="N97" s="20">
        <f>(D97/30)*M97</f>
        <v>204.8</v>
      </c>
      <c r="O97" s="21">
        <f>N97+((D97/30)*M97)</f>
        <v>409.6</v>
      </c>
      <c r="P97" s="19">
        <f>N97+E97</f>
        <v>1204.8</v>
      </c>
      <c r="Q97" s="4">
        <v>4984</v>
      </c>
      <c r="R97" s="12">
        <v>0.55000000000000004</v>
      </c>
      <c r="S97" s="2">
        <v>3831630646</v>
      </c>
      <c r="T97" s="2"/>
    </row>
    <row r="98" spans="1:20" s="5" customFormat="1" ht="12" x14ac:dyDescent="0.2">
      <c r="A98" s="3" t="s">
        <v>293</v>
      </c>
      <c r="B98" s="2" t="s">
        <v>45</v>
      </c>
      <c r="C98" s="8" t="s">
        <v>150</v>
      </c>
      <c r="D98" s="3">
        <v>32</v>
      </c>
      <c r="E98" s="3">
        <v>1000</v>
      </c>
      <c r="F98" s="3">
        <v>1000</v>
      </c>
      <c r="G98" s="3">
        <v>4</v>
      </c>
      <c r="H98" s="3">
        <v>2</v>
      </c>
      <c r="I98" s="3">
        <v>2</v>
      </c>
      <c r="J98" s="3">
        <v>15</v>
      </c>
      <c r="K98" s="3">
        <v>41</v>
      </c>
      <c r="L98" s="3">
        <v>55</v>
      </c>
      <c r="M98" s="3">
        <f>(G98*J98)+(H98*K98)+(I98*L98)</f>
        <v>252</v>
      </c>
      <c r="N98" s="20">
        <f>(D98/30)*M98</f>
        <v>268.8</v>
      </c>
      <c r="O98" s="21">
        <f>N98+((D98/30)*M98)</f>
        <v>537.6</v>
      </c>
      <c r="P98" s="19">
        <f>N98+E98</f>
        <v>1268.8</v>
      </c>
      <c r="Q98" s="4">
        <v>4984</v>
      </c>
      <c r="R98" s="12">
        <v>0.69</v>
      </c>
      <c r="S98" s="2">
        <v>3831630646</v>
      </c>
      <c r="T98" s="2"/>
    </row>
    <row r="99" spans="1:20" s="5" customFormat="1" ht="12" x14ac:dyDescent="0.2">
      <c r="A99" s="3" t="s">
        <v>292</v>
      </c>
      <c r="B99" s="2" t="s">
        <v>153</v>
      </c>
      <c r="C99" s="8" t="s">
        <v>152</v>
      </c>
      <c r="D99" s="3">
        <v>56</v>
      </c>
      <c r="E99" s="3">
        <v>80</v>
      </c>
      <c r="F99" s="3">
        <v>50</v>
      </c>
      <c r="G99" s="3">
        <v>1</v>
      </c>
      <c r="H99" s="3">
        <v>0</v>
      </c>
      <c r="I99" s="3">
        <v>0</v>
      </c>
      <c r="J99" s="3">
        <v>15</v>
      </c>
      <c r="K99" s="3">
        <v>41</v>
      </c>
      <c r="L99" s="3">
        <v>55</v>
      </c>
      <c r="M99" s="3">
        <f>(G99*J99)+(H99*K99)+(I99*L99)</f>
        <v>15</v>
      </c>
      <c r="N99" s="20">
        <f>(D99/30)*M99</f>
        <v>28</v>
      </c>
      <c r="O99" s="21">
        <f>N99+((D99/30)*M99)</f>
        <v>56</v>
      </c>
      <c r="P99" s="19">
        <f>N99+E99</f>
        <v>108</v>
      </c>
      <c r="Q99" s="4">
        <v>5000</v>
      </c>
      <c r="R99" s="12">
        <v>110</v>
      </c>
      <c r="S99" s="2">
        <v>2204408879</v>
      </c>
      <c r="T99" s="2"/>
    </row>
    <row r="100" spans="1:20" s="5" customFormat="1" ht="12" x14ac:dyDescent="0.2">
      <c r="A100" s="3" t="s">
        <v>291</v>
      </c>
      <c r="B100" s="2" t="s">
        <v>32</v>
      </c>
      <c r="C100" s="8" t="s">
        <v>150</v>
      </c>
      <c r="D100" s="3">
        <v>32</v>
      </c>
      <c r="E100" s="3">
        <v>1000</v>
      </c>
      <c r="F100" s="3">
        <v>350</v>
      </c>
      <c r="G100" s="3">
        <v>4</v>
      </c>
      <c r="H100" s="3">
        <v>0</v>
      </c>
      <c r="I100" s="3">
        <v>0</v>
      </c>
      <c r="J100" s="3">
        <v>15</v>
      </c>
      <c r="K100" s="3">
        <v>41</v>
      </c>
      <c r="L100" s="3">
        <v>55</v>
      </c>
      <c r="M100" s="3">
        <f>(G100*J100)+(H100*K100)+(I100*L100)</f>
        <v>60</v>
      </c>
      <c r="N100" s="20">
        <f>(D100/30)*M100</f>
        <v>64</v>
      </c>
      <c r="O100" s="21">
        <f>N100+((D100/30)*M100)</f>
        <v>128</v>
      </c>
      <c r="P100" s="19">
        <f>N100+E100</f>
        <v>1064</v>
      </c>
      <c r="Q100" s="4">
        <v>5000</v>
      </c>
      <c r="R100" s="12">
        <v>1.5</v>
      </c>
      <c r="S100" s="2">
        <v>3831630646</v>
      </c>
      <c r="T100" s="2"/>
    </row>
    <row r="101" spans="1:20" s="5" customFormat="1" ht="12" x14ac:dyDescent="0.2">
      <c r="A101" s="3" t="s">
        <v>290</v>
      </c>
      <c r="B101" s="2" t="s">
        <v>34</v>
      </c>
      <c r="C101" s="8" t="s">
        <v>150</v>
      </c>
      <c r="D101" s="3">
        <v>32</v>
      </c>
      <c r="E101" s="3">
        <v>1000</v>
      </c>
      <c r="F101" s="3">
        <v>100</v>
      </c>
      <c r="G101" s="3">
        <v>2</v>
      </c>
      <c r="H101" s="3">
        <v>0</v>
      </c>
      <c r="I101" s="3">
        <v>0</v>
      </c>
      <c r="J101" s="3">
        <v>15</v>
      </c>
      <c r="K101" s="3">
        <v>41</v>
      </c>
      <c r="L101" s="3">
        <v>55</v>
      </c>
      <c r="M101" s="3">
        <f>(G101*J101)+(H101*K101)+(I101*L101)</f>
        <v>30</v>
      </c>
      <c r="N101" s="20">
        <f>(D101/30)*M101</f>
        <v>32</v>
      </c>
      <c r="O101" s="21">
        <f>N101+((D101/30)*M101)</f>
        <v>64</v>
      </c>
      <c r="P101" s="19">
        <f>N101+E101</f>
        <v>1032</v>
      </c>
      <c r="Q101" s="4">
        <v>5000</v>
      </c>
      <c r="R101" s="12">
        <v>1.1000000000000001</v>
      </c>
      <c r="S101" s="2">
        <v>3831630646</v>
      </c>
      <c r="T101" s="2"/>
    </row>
    <row r="102" spans="1:20" s="5" customFormat="1" ht="12" x14ac:dyDescent="0.2">
      <c r="A102" s="3" t="s">
        <v>289</v>
      </c>
      <c r="B102" s="2" t="s">
        <v>41</v>
      </c>
      <c r="C102" s="8" t="s">
        <v>150</v>
      </c>
      <c r="D102" s="3">
        <v>32</v>
      </c>
      <c r="E102" s="3">
        <v>1000</v>
      </c>
      <c r="F102" s="3">
        <v>350</v>
      </c>
      <c r="G102" s="3">
        <v>1</v>
      </c>
      <c r="H102" s="3">
        <v>0</v>
      </c>
      <c r="I102" s="3">
        <v>0</v>
      </c>
      <c r="J102" s="3">
        <v>15</v>
      </c>
      <c r="K102" s="3">
        <v>41</v>
      </c>
      <c r="L102" s="3">
        <v>55</v>
      </c>
      <c r="M102" s="3">
        <f>(G102*J102)+(H102*K102)+(I102*L102)</f>
        <v>15</v>
      </c>
      <c r="N102" s="20">
        <f>(D102/30)*M102</f>
        <v>16</v>
      </c>
      <c r="O102" s="21">
        <f>N102+((D102/30)*M102)</f>
        <v>32</v>
      </c>
      <c r="P102" s="19">
        <f>N102+E102</f>
        <v>1016</v>
      </c>
      <c r="Q102" s="4">
        <v>5000</v>
      </c>
      <c r="R102" s="12">
        <v>1.3</v>
      </c>
      <c r="S102" s="2">
        <v>3831630646</v>
      </c>
      <c r="T102" s="2"/>
    </row>
    <row r="103" spans="1:20" s="5" customFormat="1" ht="12" x14ac:dyDescent="0.2">
      <c r="A103" s="3" t="s">
        <v>305</v>
      </c>
      <c r="B103" s="2" t="s">
        <v>27</v>
      </c>
      <c r="C103" s="8" t="s">
        <v>159</v>
      </c>
      <c r="D103" s="3">
        <v>20</v>
      </c>
      <c r="E103" s="3">
        <v>500</v>
      </c>
      <c r="F103" s="3">
        <v>500</v>
      </c>
      <c r="G103" s="3">
        <v>0</v>
      </c>
      <c r="H103" s="3">
        <v>2</v>
      </c>
      <c r="I103" s="3">
        <v>2</v>
      </c>
      <c r="J103" s="3">
        <v>15</v>
      </c>
      <c r="K103" s="3">
        <v>41</v>
      </c>
      <c r="L103" s="3">
        <v>55</v>
      </c>
      <c r="M103" s="3">
        <f>(G103*J103)+(H103*K103)+(I103*L103)</f>
        <v>192</v>
      </c>
      <c r="N103" s="20">
        <f>(D103/30)*M103</f>
        <v>128</v>
      </c>
      <c r="O103" s="21">
        <f>N103+(D103/30)*M103</f>
        <v>256</v>
      </c>
      <c r="P103" s="19">
        <f>N103+E103</f>
        <v>628</v>
      </c>
      <c r="Q103" s="4">
        <v>4984</v>
      </c>
      <c r="R103" s="14">
        <v>8.65</v>
      </c>
      <c r="S103" s="2">
        <v>2206329792</v>
      </c>
      <c r="T103" s="2"/>
    </row>
    <row r="104" spans="1:20" s="5" customFormat="1" ht="12" x14ac:dyDescent="0.2">
      <c r="A104" s="3" t="s">
        <v>306</v>
      </c>
      <c r="B104" s="2" t="s">
        <v>44</v>
      </c>
      <c r="C104" s="8" t="s">
        <v>160</v>
      </c>
      <c r="D104" s="3">
        <v>30</v>
      </c>
      <c r="E104" s="3">
        <v>1000</v>
      </c>
      <c r="F104" s="3">
        <v>100</v>
      </c>
      <c r="G104" s="3">
        <v>1</v>
      </c>
      <c r="H104" s="3">
        <v>0</v>
      </c>
      <c r="I104" s="3">
        <v>0</v>
      </c>
      <c r="J104" s="3">
        <v>15</v>
      </c>
      <c r="K104" s="3">
        <v>41</v>
      </c>
      <c r="L104" s="3">
        <v>55</v>
      </c>
      <c r="M104" s="3">
        <f>(G104*J104)+(H104*K104)+(I104*L104)</f>
        <v>15</v>
      </c>
      <c r="N104" s="20">
        <f>(D104/30)*M104</f>
        <v>15</v>
      </c>
      <c r="O104" s="21">
        <f>N104+(D104/30)*M104</f>
        <v>30</v>
      </c>
      <c r="P104" s="19">
        <f>N104+E104</f>
        <v>1015</v>
      </c>
      <c r="Q104" s="4">
        <v>5000</v>
      </c>
      <c r="R104" s="14">
        <v>2.2999999999999998</v>
      </c>
      <c r="S104" s="2">
        <v>4155652517</v>
      </c>
      <c r="T104" s="2"/>
    </row>
    <row r="105" spans="1:20" s="5" customFormat="1" ht="12" x14ac:dyDescent="0.2">
      <c r="A105" s="3" t="s">
        <v>307</v>
      </c>
      <c r="B105" s="2" t="s">
        <v>11</v>
      </c>
      <c r="C105" s="8" t="s">
        <v>160</v>
      </c>
      <c r="D105" s="3">
        <v>30</v>
      </c>
      <c r="E105" s="3">
        <v>1000</v>
      </c>
      <c r="F105" s="3">
        <v>500</v>
      </c>
      <c r="G105" s="3">
        <v>0</v>
      </c>
      <c r="H105" s="3">
        <v>1</v>
      </c>
      <c r="I105" s="3">
        <v>1</v>
      </c>
      <c r="J105" s="3">
        <v>15</v>
      </c>
      <c r="K105" s="3">
        <v>41</v>
      </c>
      <c r="L105" s="3">
        <v>55</v>
      </c>
      <c r="M105" s="3">
        <f>(G105*J105)+(H105*K105)+(I105*L105)</f>
        <v>96</v>
      </c>
      <c r="N105" s="20">
        <f>(D105/30)*M105</f>
        <v>96</v>
      </c>
      <c r="O105" s="21">
        <f>N105+(D105/30)*M105</f>
        <v>192</v>
      </c>
      <c r="P105" s="19">
        <f>N105+E105</f>
        <v>1096</v>
      </c>
      <c r="Q105" s="4">
        <v>4992</v>
      </c>
      <c r="R105" s="14">
        <v>1.21</v>
      </c>
      <c r="S105" s="2">
        <v>4155652517</v>
      </c>
      <c r="T105" s="2"/>
    </row>
    <row r="106" spans="1:20" s="5" customFormat="1" ht="12" x14ac:dyDescent="0.2">
      <c r="A106" s="3" t="s">
        <v>308</v>
      </c>
      <c r="B106" s="2" t="s">
        <v>50</v>
      </c>
      <c r="C106" s="8" t="s">
        <v>161</v>
      </c>
      <c r="D106" s="3">
        <v>35</v>
      </c>
      <c r="E106" s="3">
        <v>40</v>
      </c>
      <c r="F106" s="3">
        <v>100</v>
      </c>
      <c r="G106" s="3">
        <v>0</v>
      </c>
      <c r="H106" s="3">
        <v>0</v>
      </c>
      <c r="I106" s="3">
        <v>1</v>
      </c>
      <c r="J106" s="3">
        <v>15</v>
      </c>
      <c r="K106" s="3">
        <v>41</v>
      </c>
      <c r="L106" s="3">
        <v>55</v>
      </c>
      <c r="M106" s="3">
        <f>(G106*J106)+(H106*K106)+(I106*L106)</f>
        <v>55</v>
      </c>
      <c r="N106" s="20">
        <f>((D106/30)*M106)*0.8</f>
        <v>51.333333333333343</v>
      </c>
      <c r="O106" s="21">
        <f>(N106+(D106/30)*M106)*0.8</f>
        <v>92.40000000000002</v>
      </c>
      <c r="P106" s="19">
        <f>N106+E106</f>
        <v>91.333333333333343</v>
      </c>
      <c r="Q106" s="4">
        <v>4992</v>
      </c>
      <c r="R106" s="14">
        <v>278</v>
      </c>
      <c r="S106" s="2">
        <v>2204408493</v>
      </c>
      <c r="T106" s="2"/>
    </row>
    <row r="107" spans="1:20" s="5" customFormat="1" ht="12" x14ac:dyDescent="0.2">
      <c r="A107" s="3" t="s">
        <v>309</v>
      </c>
      <c r="B107" s="2" t="s">
        <v>54</v>
      </c>
      <c r="C107" s="8" t="s">
        <v>64</v>
      </c>
      <c r="D107" s="3">
        <v>45</v>
      </c>
      <c r="E107" s="3">
        <v>200</v>
      </c>
      <c r="F107" s="3">
        <v>200</v>
      </c>
      <c r="G107" s="3">
        <v>0</v>
      </c>
      <c r="H107" s="3">
        <v>0</v>
      </c>
      <c r="I107" s="3">
        <v>1</v>
      </c>
      <c r="J107" s="3">
        <v>15</v>
      </c>
      <c r="K107" s="3">
        <v>41</v>
      </c>
      <c r="L107" s="3">
        <v>55</v>
      </c>
      <c r="M107" s="3">
        <f>(G107*J107)+(H107*K107)+(I107*L107)</f>
        <v>55</v>
      </c>
      <c r="N107" s="20">
        <f>(D107/30)*M107</f>
        <v>82.5</v>
      </c>
      <c r="O107" s="21">
        <f>N107+(D107/30)*M107</f>
        <v>165</v>
      </c>
      <c r="P107" s="19">
        <f>N107+E107</f>
        <v>282.5</v>
      </c>
      <c r="Q107" s="4">
        <v>4992</v>
      </c>
      <c r="R107" s="14">
        <v>15.6</v>
      </c>
      <c r="S107" s="2">
        <v>2204408683</v>
      </c>
      <c r="T107" s="2"/>
    </row>
    <row r="108" spans="1:20" s="5" customFormat="1" ht="12" x14ac:dyDescent="0.2">
      <c r="A108" s="3" t="s">
        <v>310</v>
      </c>
      <c r="B108" s="2" t="s">
        <v>7</v>
      </c>
      <c r="C108" s="8" t="s">
        <v>160</v>
      </c>
      <c r="D108" s="3">
        <v>30</v>
      </c>
      <c r="E108" s="3">
        <v>1000</v>
      </c>
      <c r="F108" s="3">
        <v>1000</v>
      </c>
      <c r="G108" s="3">
        <v>0</v>
      </c>
      <c r="H108" s="3">
        <v>3</v>
      </c>
      <c r="I108" s="3">
        <v>3</v>
      </c>
      <c r="J108" s="3">
        <v>15</v>
      </c>
      <c r="K108" s="3">
        <v>41</v>
      </c>
      <c r="L108" s="3">
        <v>55</v>
      </c>
      <c r="M108" s="3">
        <f>(G108*J108)+(H108*K108)+(I108*L108)</f>
        <v>288</v>
      </c>
      <c r="N108" s="20">
        <f>(D108/30)*M108</f>
        <v>288</v>
      </c>
      <c r="O108" s="21">
        <f>N108+(D108/30)*M108</f>
        <v>576</v>
      </c>
      <c r="P108" s="19">
        <f>N108+E108</f>
        <v>1288</v>
      </c>
      <c r="Q108" s="4">
        <v>4976</v>
      </c>
      <c r="R108" s="14">
        <v>0.9</v>
      </c>
      <c r="S108" s="2">
        <v>4155652517</v>
      </c>
      <c r="T108" s="2"/>
    </row>
    <row r="109" spans="1:20" s="5" customFormat="1" ht="12" x14ac:dyDescent="0.2">
      <c r="A109" s="3" t="s">
        <v>311</v>
      </c>
      <c r="B109" s="2" t="s">
        <v>46</v>
      </c>
      <c r="C109" s="8" t="s">
        <v>64</v>
      </c>
      <c r="D109" s="3">
        <v>45</v>
      </c>
      <c r="E109" s="3">
        <v>200</v>
      </c>
      <c r="F109" s="3">
        <v>400</v>
      </c>
      <c r="G109" s="3">
        <v>0</v>
      </c>
      <c r="H109" s="3">
        <v>1</v>
      </c>
      <c r="I109" s="3">
        <v>1</v>
      </c>
      <c r="J109" s="3">
        <v>15</v>
      </c>
      <c r="K109" s="3">
        <v>41</v>
      </c>
      <c r="L109" s="3">
        <v>55</v>
      </c>
      <c r="M109" s="3">
        <f>(G109*J109)+(H109*K109)+(I109*L109)</f>
        <v>96</v>
      </c>
      <c r="N109" s="20">
        <f>(D109/30)*M109</f>
        <v>144</v>
      </c>
      <c r="O109" s="21">
        <f>N109+(D109/30)*M109</f>
        <v>288</v>
      </c>
      <c r="P109" s="19">
        <f>N109+E109</f>
        <v>344</v>
      </c>
      <c r="Q109" s="4">
        <v>4992</v>
      </c>
      <c r="R109" s="14">
        <v>15</v>
      </c>
      <c r="S109" s="2">
        <v>2204408683</v>
      </c>
      <c r="T109" s="2"/>
    </row>
    <row r="110" spans="1:20" s="5" customFormat="1" ht="12" x14ac:dyDescent="0.2">
      <c r="A110" s="3"/>
      <c r="B110" s="2" t="s">
        <v>198</v>
      </c>
      <c r="C110" s="8" t="s">
        <v>64</v>
      </c>
      <c r="D110" s="3">
        <v>45</v>
      </c>
      <c r="E110" s="3">
        <v>200</v>
      </c>
      <c r="F110" s="3">
        <v>400</v>
      </c>
      <c r="G110" s="3">
        <v>1</v>
      </c>
      <c r="H110" s="3">
        <v>1</v>
      </c>
      <c r="I110" s="3">
        <v>1</v>
      </c>
      <c r="J110" s="3">
        <v>15</v>
      </c>
      <c r="K110" s="3">
        <v>41</v>
      </c>
      <c r="L110" s="3">
        <v>55</v>
      </c>
      <c r="M110" s="3">
        <v>96</v>
      </c>
      <c r="N110" s="20">
        <v>114</v>
      </c>
      <c r="O110" s="21">
        <v>288</v>
      </c>
      <c r="P110" s="19">
        <v>344</v>
      </c>
      <c r="Q110" s="4">
        <v>4992</v>
      </c>
      <c r="R110" s="14">
        <v>1</v>
      </c>
      <c r="S110" s="2">
        <v>2204408683</v>
      </c>
      <c r="T110" s="2"/>
    </row>
    <row r="111" spans="1:20" s="5" customFormat="1" ht="12" x14ac:dyDescent="0.2">
      <c r="A111" s="3" t="s">
        <v>312</v>
      </c>
      <c r="B111" s="2" t="s">
        <v>61</v>
      </c>
      <c r="C111" s="8" t="s">
        <v>64</v>
      </c>
      <c r="D111" s="3">
        <v>45</v>
      </c>
      <c r="E111" s="3">
        <v>200</v>
      </c>
      <c r="F111" s="3">
        <v>200</v>
      </c>
      <c r="G111" s="3">
        <v>0</v>
      </c>
      <c r="H111" s="3">
        <v>1</v>
      </c>
      <c r="I111" s="3">
        <v>0</v>
      </c>
      <c r="J111" s="3">
        <v>15</v>
      </c>
      <c r="K111" s="3">
        <v>41</v>
      </c>
      <c r="L111" s="3">
        <v>55</v>
      </c>
      <c r="M111" s="3">
        <f>(G111*J111)+(H111*K111)+(I111*L111)</f>
        <v>41</v>
      </c>
      <c r="N111" s="20">
        <f>(D111/30)*M111</f>
        <v>61.5</v>
      </c>
      <c r="O111" s="21">
        <f>N111+(D111/30)*M111</f>
        <v>123</v>
      </c>
      <c r="P111" s="19">
        <f>N111+E111</f>
        <v>261.5</v>
      </c>
      <c r="Q111" s="4">
        <v>5000</v>
      </c>
      <c r="R111" s="14">
        <v>15.6</v>
      </c>
      <c r="S111" s="2">
        <v>2204408683</v>
      </c>
      <c r="T111" s="2"/>
    </row>
    <row r="112" spans="1:20" s="5" customFormat="1" ht="12" x14ac:dyDescent="0.2">
      <c r="A112" s="3" t="s">
        <v>195</v>
      </c>
      <c r="B112" s="2" t="s">
        <v>29</v>
      </c>
      <c r="C112" s="8" t="s">
        <v>160</v>
      </c>
      <c r="D112" s="3">
        <v>30</v>
      </c>
      <c r="E112" s="3">
        <v>1000</v>
      </c>
      <c r="F112" s="3">
        <v>1400</v>
      </c>
      <c r="G112" s="3">
        <v>0</v>
      </c>
      <c r="H112" s="3">
        <v>4</v>
      </c>
      <c r="I112" s="3">
        <v>4</v>
      </c>
      <c r="J112" s="3">
        <v>15</v>
      </c>
      <c r="K112" s="3">
        <v>41</v>
      </c>
      <c r="L112" s="3">
        <v>55</v>
      </c>
      <c r="M112" s="3">
        <f>(G112*J112)+(H112*K112)+(I112*L112)</f>
        <v>384</v>
      </c>
      <c r="N112" s="20">
        <f>(D112/30)*M112</f>
        <v>384</v>
      </c>
      <c r="O112" s="21">
        <f>N112+(D112/30)*M112</f>
        <v>768</v>
      </c>
      <c r="P112" s="19">
        <f>N112+E112</f>
        <v>1384</v>
      </c>
      <c r="Q112" s="4">
        <v>4968</v>
      </c>
      <c r="R112" s="14">
        <v>2.6</v>
      </c>
      <c r="S112" s="2">
        <v>4155652517</v>
      </c>
      <c r="T112" s="2"/>
    </row>
    <row r="113" spans="1:20" s="5" customFormat="1" ht="12" x14ac:dyDescent="0.2">
      <c r="A113" s="3" t="s">
        <v>194</v>
      </c>
      <c r="B113" s="2" t="s">
        <v>30</v>
      </c>
      <c r="C113" s="8" t="s">
        <v>161</v>
      </c>
      <c r="D113" s="3">
        <v>30</v>
      </c>
      <c r="E113" s="3">
        <v>80</v>
      </c>
      <c r="F113" s="3">
        <v>296</v>
      </c>
      <c r="G113" s="3">
        <v>0</v>
      </c>
      <c r="H113" s="3">
        <v>1</v>
      </c>
      <c r="I113" s="3">
        <v>1</v>
      </c>
      <c r="J113" s="3">
        <v>15</v>
      </c>
      <c r="K113" s="3">
        <v>41</v>
      </c>
      <c r="L113" s="3">
        <v>55</v>
      </c>
      <c r="M113" s="3">
        <f>(G113*J113)+(H113*K113)+(I113*L113)</f>
        <v>96</v>
      </c>
      <c r="N113" s="20">
        <f>(D113/30)*M113</f>
        <v>96</v>
      </c>
      <c r="O113" s="21">
        <f>N113+(D113/30)*M113</f>
        <v>192</v>
      </c>
      <c r="P113" s="19">
        <f>N113+E113</f>
        <v>176</v>
      </c>
      <c r="Q113" s="4">
        <v>4992</v>
      </c>
      <c r="R113" s="14">
        <v>19.8</v>
      </c>
      <c r="S113" s="2">
        <v>2204408493</v>
      </c>
      <c r="T113" s="2"/>
    </row>
    <row r="114" spans="1:20" s="5" customFormat="1" ht="12" x14ac:dyDescent="0.2">
      <c r="A114" s="3" t="s">
        <v>313</v>
      </c>
      <c r="B114" s="2" t="s">
        <v>162</v>
      </c>
      <c r="C114" s="8" t="s">
        <v>161</v>
      </c>
      <c r="D114" s="3">
        <v>35</v>
      </c>
      <c r="E114" s="3">
        <v>30</v>
      </c>
      <c r="F114" s="3">
        <v>30</v>
      </c>
      <c r="G114" s="3">
        <v>1</v>
      </c>
      <c r="H114" s="3">
        <v>0</v>
      </c>
      <c r="I114" s="3">
        <v>0</v>
      </c>
      <c r="J114" s="3">
        <v>15</v>
      </c>
      <c r="K114" s="3">
        <v>41</v>
      </c>
      <c r="L114" s="3">
        <v>55</v>
      </c>
      <c r="M114" s="3">
        <f>(G114*J114)+(H114*K114)+(I114*L114)</f>
        <v>15</v>
      </c>
      <c r="N114" s="20">
        <f>(D114/30)*M114</f>
        <v>17.5</v>
      </c>
      <c r="O114" s="21">
        <f>N114+(D114/30)*M114</f>
        <v>35</v>
      </c>
      <c r="P114" s="19">
        <f>N114+E114</f>
        <v>47.5</v>
      </c>
      <c r="Q114" s="4">
        <v>5000</v>
      </c>
      <c r="R114" s="14">
        <v>140.80000000000001</v>
      </c>
      <c r="S114" s="2">
        <v>2204408493</v>
      </c>
      <c r="T114" s="2"/>
    </row>
    <row r="115" spans="1:20" s="5" customFormat="1" ht="12" x14ac:dyDescent="0.2">
      <c r="A115" s="3" t="s">
        <v>314</v>
      </c>
      <c r="B115" s="2" t="s">
        <v>65</v>
      </c>
      <c r="C115" s="8" t="s">
        <v>161</v>
      </c>
      <c r="D115" s="3">
        <v>35</v>
      </c>
      <c r="E115" s="3">
        <v>40</v>
      </c>
      <c r="F115" s="3">
        <v>80</v>
      </c>
      <c r="G115" s="3">
        <v>0</v>
      </c>
      <c r="H115" s="3">
        <v>1</v>
      </c>
      <c r="I115" s="3">
        <v>0</v>
      </c>
      <c r="J115" s="3">
        <v>15</v>
      </c>
      <c r="K115" s="3">
        <v>41</v>
      </c>
      <c r="L115" s="3">
        <v>55</v>
      </c>
      <c r="M115" s="3">
        <f>(G115*J115)+(H115*K115)+(I115*L115)</f>
        <v>41</v>
      </c>
      <c r="N115" s="20">
        <f>((D115/30)*M115)*0.8</f>
        <v>38.266666666666673</v>
      </c>
      <c r="O115" s="21">
        <f>(N115+(D115/30)*M115)*0.8</f>
        <v>68.88000000000001</v>
      </c>
      <c r="P115" s="19">
        <f>N115+E115</f>
        <v>78.26666666666668</v>
      </c>
      <c r="Q115" s="4">
        <v>5000</v>
      </c>
      <c r="R115" s="14">
        <v>258</v>
      </c>
      <c r="S115" s="2">
        <v>2204408493</v>
      </c>
      <c r="T115" s="2"/>
    </row>
    <row r="116" spans="1:20" s="5" customFormat="1" ht="12" x14ac:dyDescent="0.2">
      <c r="A116" s="3" t="s">
        <v>315</v>
      </c>
      <c r="B116" s="2" t="s">
        <v>146</v>
      </c>
      <c r="C116" s="8" t="s">
        <v>163</v>
      </c>
      <c r="D116" s="3">
        <v>7</v>
      </c>
      <c r="E116" s="3">
        <v>50</v>
      </c>
      <c r="F116" s="3">
        <v>50</v>
      </c>
      <c r="G116" s="3">
        <v>1</v>
      </c>
      <c r="H116" s="3">
        <v>1</v>
      </c>
      <c r="I116" s="3">
        <v>1</v>
      </c>
      <c r="J116" s="3">
        <v>15</v>
      </c>
      <c r="K116" s="3">
        <v>41</v>
      </c>
      <c r="L116" s="3">
        <v>55</v>
      </c>
      <c r="M116" s="3">
        <f>(G116*J116)+(H116*K116)+(I116*L116)</f>
        <v>111</v>
      </c>
      <c r="N116" s="20">
        <f>(D116/30)*M116</f>
        <v>25.900000000000002</v>
      </c>
      <c r="O116" s="21">
        <f>N116+(D116/30)*M116</f>
        <v>51.800000000000004</v>
      </c>
      <c r="P116" s="19">
        <f>N116+E116</f>
        <v>75.900000000000006</v>
      </c>
      <c r="Q116" s="4">
        <v>4992</v>
      </c>
      <c r="R116" s="14">
        <v>3.31</v>
      </c>
      <c r="S116" s="2"/>
      <c r="T116" s="2"/>
    </row>
    <row r="117" spans="1:20" s="5" customFormat="1" ht="12" x14ac:dyDescent="0.2">
      <c r="A117" s="3" t="s">
        <v>66</v>
      </c>
      <c r="B117" s="2" t="s">
        <v>120</v>
      </c>
      <c r="C117" s="8" t="s">
        <v>164</v>
      </c>
      <c r="D117" s="3">
        <v>40</v>
      </c>
      <c r="E117" s="3">
        <v>200</v>
      </c>
      <c r="F117" s="3">
        <v>500</v>
      </c>
      <c r="G117" s="3">
        <v>0</v>
      </c>
      <c r="H117" s="3">
        <v>1</v>
      </c>
      <c r="I117" s="3">
        <v>1</v>
      </c>
      <c r="J117" s="3">
        <v>15</v>
      </c>
      <c r="K117" s="3">
        <v>41</v>
      </c>
      <c r="L117" s="3">
        <v>55</v>
      </c>
      <c r="M117" s="3">
        <f>(G117*J117)+(H117*K117)+(I117*L117)</f>
        <v>96</v>
      </c>
      <c r="N117" s="20">
        <f>(D117/30)*M117</f>
        <v>128</v>
      </c>
      <c r="O117" s="21">
        <f>N117+(D117/30)*M117</f>
        <v>256</v>
      </c>
      <c r="P117" s="19">
        <f>N117+E117</f>
        <v>328</v>
      </c>
      <c r="Q117" s="4">
        <v>4992</v>
      </c>
      <c r="R117" s="14">
        <v>7.19</v>
      </c>
      <c r="S117" s="2">
        <v>2206324429</v>
      </c>
      <c r="T117" s="2"/>
    </row>
    <row r="118" spans="1:20" s="5" customFormat="1" ht="12" x14ac:dyDescent="0.2">
      <c r="A118" s="3" t="s">
        <v>67</v>
      </c>
      <c r="B118" s="2" t="s">
        <v>68</v>
      </c>
      <c r="C118" s="8" t="s">
        <v>165</v>
      </c>
      <c r="D118" s="3">
        <v>30</v>
      </c>
      <c r="E118" s="3">
        <v>300</v>
      </c>
      <c r="F118" s="3">
        <v>500</v>
      </c>
      <c r="G118" s="3">
        <v>1</v>
      </c>
      <c r="H118" s="3">
        <v>1</v>
      </c>
      <c r="I118" s="3">
        <v>1</v>
      </c>
      <c r="J118" s="3">
        <v>15</v>
      </c>
      <c r="K118" s="3">
        <v>41</v>
      </c>
      <c r="L118" s="3">
        <v>55</v>
      </c>
      <c r="M118" s="3">
        <f>(G118*J118)+(H118*K118)+(I118*L118)</f>
        <v>111</v>
      </c>
      <c r="N118" s="20">
        <f>(D118/30)*M118</f>
        <v>111</v>
      </c>
      <c r="O118" s="21">
        <f>N118+(D118/30)*M118</f>
        <v>222</v>
      </c>
      <c r="P118" s="19">
        <f>N118+E118</f>
        <v>411</v>
      </c>
      <c r="Q118" s="4">
        <v>4992</v>
      </c>
      <c r="R118" s="14">
        <v>9.7899999999999991</v>
      </c>
      <c r="S118" s="2">
        <v>3990269914</v>
      </c>
      <c r="T118" s="2"/>
    </row>
    <row r="119" spans="1:20" s="5" customFormat="1" ht="12" x14ac:dyDescent="0.2">
      <c r="A119" s="3" t="s">
        <v>121</v>
      </c>
      <c r="B119" s="2" t="s">
        <v>166</v>
      </c>
      <c r="C119" s="8" t="s">
        <v>164</v>
      </c>
      <c r="D119" s="3">
        <v>40</v>
      </c>
      <c r="E119" s="3">
        <v>200</v>
      </c>
      <c r="F119" s="3">
        <v>100</v>
      </c>
      <c r="G119" s="3">
        <v>1</v>
      </c>
      <c r="H119" s="3">
        <v>0</v>
      </c>
      <c r="I119" s="3">
        <v>0</v>
      </c>
      <c r="J119" s="3">
        <v>15</v>
      </c>
      <c r="K119" s="3">
        <v>41</v>
      </c>
      <c r="L119" s="3">
        <v>55</v>
      </c>
      <c r="M119" s="3">
        <f>(G119*J119)+(H119*K119)+(I119*L119)</f>
        <v>15</v>
      </c>
      <c r="N119" s="20">
        <f>(D119/30)*M119</f>
        <v>20</v>
      </c>
      <c r="O119" s="21">
        <f>N119+(D119/30)*M119</f>
        <v>40</v>
      </c>
      <c r="P119" s="19">
        <f>N119+E119</f>
        <v>220</v>
      </c>
      <c r="Q119" s="4">
        <v>5000</v>
      </c>
      <c r="R119" s="14">
        <v>21.73</v>
      </c>
      <c r="S119" s="2">
        <v>2206324429</v>
      </c>
      <c r="T119" s="2"/>
    </row>
    <row r="120" spans="1:20" s="5" customFormat="1" ht="12" x14ac:dyDescent="0.2">
      <c r="A120" s="3" t="s">
        <v>69</v>
      </c>
      <c r="B120" s="2" t="s">
        <v>70</v>
      </c>
      <c r="C120" s="8" t="s">
        <v>343</v>
      </c>
      <c r="D120" s="3">
        <v>5</v>
      </c>
      <c r="E120" s="3">
        <v>80</v>
      </c>
      <c r="F120" s="3">
        <v>200</v>
      </c>
      <c r="G120" s="3">
        <v>0</v>
      </c>
      <c r="H120" s="3">
        <v>1</v>
      </c>
      <c r="I120" s="3">
        <v>1</v>
      </c>
      <c r="J120" s="3">
        <v>15</v>
      </c>
      <c r="K120" s="3">
        <v>41</v>
      </c>
      <c r="L120" s="3">
        <v>55</v>
      </c>
      <c r="M120" s="3">
        <f>(G120*J120)+(H120*K120)+(I120*L120)</f>
        <v>96</v>
      </c>
      <c r="N120" s="20">
        <f>((D120/30)*M120)*0.7</f>
        <v>11.2</v>
      </c>
      <c r="O120" s="21">
        <f>(N120+(D120/30)*M120)*0.7</f>
        <v>19.04</v>
      </c>
      <c r="P120" s="19">
        <f>N120+E120</f>
        <v>91.2</v>
      </c>
      <c r="Q120" s="4">
        <v>4992</v>
      </c>
      <c r="R120" s="14">
        <v>170</v>
      </c>
      <c r="S120" s="2">
        <v>4470920623</v>
      </c>
      <c r="T120" s="2"/>
    </row>
    <row r="121" spans="1:20" s="5" customFormat="1" ht="12" x14ac:dyDescent="0.2">
      <c r="A121" s="3" t="s">
        <v>71</v>
      </c>
      <c r="B121" s="2" t="s">
        <v>122</v>
      </c>
      <c r="C121" s="8" t="s">
        <v>168</v>
      </c>
      <c r="D121" s="3">
        <v>30</v>
      </c>
      <c r="E121" s="3">
        <v>5000</v>
      </c>
      <c r="F121" s="3">
        <v>2000</v>
      </c>
      <c r="G121" s="3">
        <v>0</v>
      </c>
      <c r="H121" s="3">
        <v>1</v>
      </c>
      <c r="I121" s="3">
        <v>1</v>
      </c>
      <c r="J121" s="3">
        <v>15</v>
      </c>
      <c r="K121" s="3">
        <v>41</v>
      </c>
      <c r="L121" s="3">
        <v>55</v>
      </c>
      <c r="M121" s="3">
        <f>(G121*J121)+(H121*K121)+(I121*L121)</f>
        <v>96</v>
      </c>
      <c r="N121" s="20">
        <f>(D121/30)*M121</f>
        <v>96</v>
      </c>
      <c r="O121" s="21">
        <f>N121+(D121/30)*M121</f>
        <v>192</v>
      </c>
      <c r="P121" s="19">
        <f>N121+E121</f>
        <v>5096</v>
      </c>
      <c r="Q121" s="4">
        <v>4992</v>
      </c>
      <c r="R121" s="14">
        <v>7.19</v>
      </c>
      <c r="S121" s="2">
        <v>2206324429</v>
      </c>
      <c r="T121" s="2"/>
    </row>
    <row r="122" spans="1:20" s="5" customFormat="1" ht="12" x14ac:dyDescent="0.2">
      <c r="A122" s="3" t="s">
        <v>72</v>
      </c>
      <c r="B122" s="2" t="s">
        <v>73</v>
      </c>
      <c r="C122" s="8" t="s">
        <v>167</v>
      </c>
      <c r="D122" s="3">
        <v>5</v>
      </c>
      <c r="E122" s="3">
        <v>80</v>
      </c>
      <c r="F122" s="3">
        <v>200</v>
      </c>
      <c r="G122" s="3">
        <v>0</v>
      </c>
      <c r="H122" s="3">
        <v>1</v>
      </c>
      <c r="I122" s="3">
        <v>1</v>
      </c>
      <c r="J122" s="3">
        <v>15</v>
      </c>
      <c r="K122" s="3">
        <v>41</v>
      </c>
      <c r="L122" s="3">
        <v>55</v>
      </c>
      <c r="M122" s="3">
        <f>(G122*J122)+(H122*K122)+(I122*L122)</f>
        <v>96</v>
      </c>
      <c r="N122" s="20">
        <f>(D122/30)*M122</f>
        <v>16</v>
      </c>
      <c r="O122" s="21">
        <f>N122+(D122/30)*M122</f>
        <v>32</v>
      </c>
      <c r="P122" s="19">
        <f>N122+E122</f>
        <v>96</v>
      </c>
      <c r="Q122" s="4">
        <v>4992</v>
      </c>
      <c r="R122" s="14">
        <v>59.9</v>
      </c>
      <c r="S122" s="2">
        <v>4470920623</v>
      </c>
      <c r="T122" s="2"/>
    </row>
    <row r="123" spans="1:20" s="5" customFormat="1" ht="12" x14ac:dyDescent="0.2">
      <c r="A123" s="3" t="s">
        <v>74</v>
      </c>
      <c r="B123" s="2" t="s">
        <v>123</v>
      </c>
      <c r="C123" s="8" t="s">
        <v>164</v>
      </c>
      <c r="D123" s="3">
        <v>40</v>
      </c>
      <c r="E123" s="3">
        <v>200</v>
      </c>
      <c r="F123" s="3">
        <v>400</v>
      </c>
      <c r="G123" s="3">
        <v>0</v>
      </c>
      <c r="H123" s="3">
        <v>1</v>
      </c>
      <c r="I123" s="3">
        <v>1</v>
      </c>
      <c r="J123" s="3">
        <v>15</v>
      </c>
      <c r="K123" s="3">
        <v>41</v>
      </c>
      <c r="L123" s="3">
        <v>55</v>
      </c>
      <c r="M123" s="3">
        <f>(G123*J123)+(H123*K123)+(I123*L123)</f>
        <v>96</v>
      </c>
      <c r="N123" s="20">
        <f>(D123/30)*M123</f>
        <v>128</v>
      </c>
      <c r="O123" s="21">
        <f>N123+(D123/30)*M123</f>
        <v>256</v>
      </c>
      <c r="P123" s="19">
        <f>N123+E123</f>
        <v>328</v>
      </c>
      <c r="Q123" s="4">
        <v>4992</v>
      </c>
      <c r="R123" s="14">
        <v>7.19</v>
      </c>
      <c r="S123" s="2">
        <v>2206324429</v>
      </c>
      <c r="T123" s="2"/>
    </row>
    <row r="124" spans="1:20" s="5" customFormat="1" ht="12" x14ac:dyDescent="0.2">
      <c r="A124" s="3" t="s">
        <v>75</v>
      </c>
      <c r="B124" s="2" t="s">
        <v>124</v>
      </c>
      <c r="C124" s="8" t="s">
        <v>169</v>
      </c>
      <c r="D124" s="3">
        <v>30</v>
      </c>
      <c r="E124" s="3">
        <v>200</v>
      </c>
      <c r="F124" s="3">
        <v>300</v>
      </c>
      <c r="G124" s="3">
        <v>0</v>
      </c>
      <c r="H124" s="3">
        <v>1</v>
      </c>
      <c r="I124" s="3">
        <v>1</v>
      </c>
      <c r="J124" s="3">
        <v>15</v>
      </c>
      <c r="K124" s="3">
        <v>41</v>
      </c>
      <c r="L124" s="3">
        <v>55</v>
      </c>
      <c r="M124" s="3">
        <f>(G124*J124)+(H124*K124)+(I124*L124)</f>
        <v>96</v>
      </c>
      <c r="N124" s="20">
        <f>(D124/30)*M124</f>
        <v>96</v>
      </c>
      <c r="O124" s="21">
        <f>N124+(D124/30)*M124</f>
        <v>192</v>
      </c>
      <c r="P124" s="19">
        <f>N124+E124</f>
        <v>296</v>
      </c>
      <c r="Q124" s="4">
        <v>4992</v>
      </c>
      <c r="R124" s="14">
        <v>15</v>
      </c>
      <c r="S124" s="2">
        <v>3939388541</v>
      </c>
      <c r="T124" s="2"/>
    </row>
    <row r="125" spans="1:20" s="5" customFormat="1" ht="12" x14ac:dyDescent="0.2">
      <c r="A125" s="3" t="s">
        <v>76</v>
      </c>
      <c r="B125" s="2" t="s">
        <v>125</v>
      </c>
      <c r="C125" s="8" t="s">
        <v>170</v>
      </c>
      <c r="D125" s="3">
        <v>30</v>
      </c>
      <c r="E125" s="3">
        <v>5000</v>
      </c>
      <c r="F125" s="3">
        <v>2000</v>
      </c>
      <c r="G125" s="3">
        <v>0</v>
      </c>
      <c r="H125" s="3">
        <v>1</v>
      </c>
      <c r="I125" s="3">
        <v>1</v>
      </c>
      <c r="J125" s="3">
        <v>15</v>
      </c>
      <c r="K125" s="3">
        <v>41</v>
      </c>
      <c r="L125" s="3">
        <v>55</v>
      </c>
      <c r="M125" s="3">
        <f>(G125*J125)+(H125*K125)+(I125*L125)</f>
        <v>96</v>
      </c>
      <c r="N125" s="20">
        <f>(D125/30)*M125</f>
        <v>96</v>
      </c>
      <c r="O125" s="21">
        <f>N125+(D125/30)*M125</f>
        <v>192</v>
      </c>
      <c r="P125" s="19">
        <f>N125+E125</f>
        <v>5096</v>
      </c>
      <c r="Q125" s="4">
        <v>4992</v>
      </c>
      <c r="R125" s="14">
        <v>0.5</v>
      </c>
      <c r="S125" s="2">
        <v>3844947478</v>
      </c>
      <c r="T125" s="2"/>
    </row>
    <row r="126" spans="1:20" s="5" customFormat="1" ht="12" x14ac:dyDescent="0.2">
      <c r="A126" s="3" t="s">
        <v>77</v>
      </c>
      <c r="B126" s="2" t="s">
        <v>126</v>
      </c>
      <c r="C126" s="8" t="s">
        <v>171</v>
      </c>
      <c r="D126" s="3">
        <v>60</v>
      </c>
      <c r="E126" s="3">
        <v>2500</v>
      </c>
      <c r="F126" s="3">
        <v>2500</v>
      </c>
      <c r="G126" s="3">
        <v>0</v>
      </c>
      <c r="H126" s="3">
        <v>2</v>
      </c>
      <c r="I126" s="3">
        <v>2</v>
      </c>
      <c r="J126" s="3">
        <v>15</v>
      </c>
      <c r="K126" s="3">
        <v>41</v>
      </c>
      <c r="L126" s="3">
        <v>55</v>
      </c>
      <c r="M126" s="3">
        <f>(G126*J126)+(H126*K126)+(I126*L126)</f>
        <v>192</v>
      </c>
      <c r="N126" s="20">
        <f>(D126/30)*M126</f>
        <v>384</v>
      </c>
      <c r="O126" s="21">
        <f>N126+(D126/30)*M126</f>
        <v>768</v>
      </c>
      <c r="P126" s="19">
        <f>N126+E126</f>
        <v>2884</v>
      </c>
      <c r="Q126" s="4">
        <v>4984</v>
      </c>
      <c r="R126" s="14">
        <v>0.5</v>
      </c>
      <c r="S126" s="2">
        <v>3844947478</v>
      </c>
      <c r="T126" s="2"/>
    </row>
    <row r="127" spans="1:20" s="5" customFormat="1" ht="12" x14ac:dyDescent="0.2">
      <c r="A127" s="3" t="s">
        <v>127</v>
      </c>
      <c r="B127" s="2" t="s">
        <v>179</v>
      </c>
      <c r="C127" s="8" t="s">
        <v>171</v>
      </c>
      <c r="D127" s="3">
        <v>60</v>
      </c>
      <c r="E127" s="3">
        <v>500</v>
      </c>
      <c r="F127" s="3">
        <v>400</v>
      </c>
      <c r="G127" s="3">
        <v>3</v>
      </c>
      <c r="H127" s="3">
        <v>0</v>
      </c>
      <c r="I127" s="3">
        <v>0</v>
      </c>
      <c r="J127" s="3">
        <v>15</v>
      </c>
      <c r="K127" s="3">
        <v>41</v>
      </c>
      <c r="L127" s="3">
        <v>55</v>
      </c>
      <c r="M127" s="3">
        <f>(G127*J127)+(H127*K127)+(I127*L127)</f>
        <v>45</v>
      </c>
      <c r="N127" s="20">
        <f>(D127/30)*M127</f>
        <v>90</v>
      </c>
      <c r="O127" s="21">
        <f>N127+(D127/30)*M127</f>
        <v>180</v>
      </c>
      <c r="P127" s="19">
        <f>N127+E127</f>
        <v>590</v>
      </c>
      <c r="Q127" s="4">
        <v>5000</v>
      </c>
      <c r="R127" s="14">
        <v>0.5</v>
      </c>
      <c r="S127" s="2">
        <v>3844947478</v>
      </c>
      <c r="T127" s="2"/>
    </row>
    <row r="128" spans="1:20" s="5" customFormat="1" ht="12" x14ac:dyDescent="0.2">
      <c r="A128" s="3" t="s">
        <v>78</v>
      </c>
      <c r="B128" s="2" t="s">
        <v>128</v>
      </c>
      <c r="C128" s="8" t="s">
        <v>171</v>
      </c>
      <c r="D128" s="3">
        <v>60</v>
      </c>
      <c r="E128" s="3">
        <v>8500</v>
      </c>
      <c r="F128" s="3">
        <v>8500</v>
      </c>
      <c r="G128" s="3">
        <v>0</v>
      </c>
      <c r="H128" s="3">
        <v>7</v>
      </c>
      <c r="I128" s="3">
        <v>7</v>
      </c>
      <c r="J128" s="3">
        <v>15</v>
      </c>
      <c r="K128" s="3">
        <v>41</v>
      </c>
      <c r="L128" s="3">
        <v>55</v>
      </c>
      <c r="M128" s="3">
        <f>(G128*J128)+(H128*K128)+(I128*L128)</f>
        <v>672</v>
      </c>
      <c r="N128" s="20">
        <f>(D128/30)*M128</f>
        <v>1344</v>
      </c>
      <c r="O128" s="21">
        <f>N128+(D128/30)*M128</f>
        <v>2688</v>
      </c>
      <c r="P128" s="19">
        <f>N128+E128</f>
        <v>9844</v>
      </c>
      <c r="Q128" s="4">
        <v>4944</v>
      </c>
      <c r="R128" s="14">
        <v>0.5</v>
      </c>
      <c r="S128" s="2">
        <v>3844947478</v>
      </c>
      <c r="T128" s="2"/>
    </row>
    <row r="129" spans="1:20" s="5" customFormat="1" ht="12" x14ac:dyDescent="0.2">
      <c r="A129" s="3" t="s">
        <v>79</v>
      </c>
      <c r="B129" s="2" t="s">
        <v>80</v>
      </c>
      <c r="C129" s="8" t="s">
        <v>171</v>
      </c>
      <c r="D129" s="3">
        <v>60</v>
      </c>
      <c r="E129" s="3">
        <v>9500</v>
      </c>
      <c r="F129" s="3">
        <v>9500</v>
      </c>
      <c r="G129" s="3">
        <v>0</v>
      </c>
      <c r="H129" s="3">
        <v>8</v>
      </c>
      <c r="I129" s="3">
        <v>8</v>
      </c>
      <c r="J129" s="3">
        <v>15</v>
      </c>
      <c r="K129" s="3">
        <v>41</v>
      </c>
      <c r="L129" s="3">
        <v>55</v>
      </c>
      <c r="M129" s="3">
        <f>(G129*J129)+(H129*K129)+(I129*L129)</f>
        <v>768</v>
      </c>
      <c r="N129" s="20">
        <f>(D129/30)*M129</f>
        <v>1536</v>
      </c>
      <c r="O129" s="21">
        <f>N129+(D129/30)*M129</f>
        <v>3072</v>
      </c>
      <c r="P129" s="19">
        <f>N129+E129</f>
        <v>11036</v>
      </c>
      <c r="Q129" s="4">
        <v>4936</v>
      </c>
      <c r="R129" s="14">
        <v>1.03</v>
      </c>
      <c r="S129" s="2">
        <v>3844947478</v>
      </c>
      <c r="T129" s="2"/>
    </row>
    <row r="130" spans="1:20" s="5" customFormat="1" ht="12" x14ac:dyDescent="0.2">
      <c r="A130" s="3" t="s">
        <v>81</v>
      </c>
      <c r="B130" s="2" t="s">
        <v>129</v>
      </c>
      <c r="C130" s="8" t="s">
        <v>171</v>
      </c>
      <c r="D130" s="3">
        <v>60</v>
      </c>
      <c r="E130" s="3">
        <v>15500</v>
      </c>
      <c r="F130" s="3">
        <v>15500</v>
      </c>
      <c r="G130" s="3">
        <v>12</v>
      </c>
      <c r="H130" s="3">
        <v>12</v>
      </c>
      <c r="I130" s="3">
        <v>12</v>
      </c>
      <c r="J130" s="3">
        <v>15</v>
      </c>
      <c r="K130" s="3">
        <v>41</v>
      </c>
      <c r="L130" s="3">
        <v>55</v>
      </c>
      <c r="M130" s="3">
        <f>(G130*J130)+(H130*K130)+(I130*L130)</f>
        <v>1332</v>
      </c>
      <c r="N130" s="20">
        <f>(D130/30)*M130</f>
        <v>2664</v>
      </c>
      <c r="O130" s="21">
        <f>N130+(D130/30)*M130</f>
        <v>5328</v>
      </c>
      <c r="P130" s="19">
        <f>N130+E130</f>
        <v>18164</v>
      </c>
      <c r="Q130" s="4">
        <v>4904</v>
      </c>
      <c r="R130" s="14">
        <v>0.5</v>
      </c>
      <c r="S130" s="2">
        <v>3844947478</v>
      </c>
      <c r="T130" s="2"/>
    </row>
    <row r="131" spans="1:20" s="5" customFormat="1" ht="12" x14ac:dyDescent="0.2">
      <c r="A131" s="3" t="s">
        <v>82</v>
      </c>
      <c r="B131" s="2" t="s">
        <v>130</v>
      </c>
      <c r="C131" s="8" t="s">
        <v>171</v>
      </c>
      <c r="D131" s="3">
        <v>60</v>
      </c>
      <c r="E131" s="3">
        <v>12000</v>
      </c>
      <c r="F131" s="3">
        <v>12000</v>
      </c>
      <c r="G131" s="3">
        <v>12</v>
      </c>
      <c r="H131" s="3">
        <v>9</v>
      </c>
      <c r="I131" s="3">
        <v>9</v>
      </c>
      <c r="J131" s="3">
        <v>15</v>
      </c>
      <c r="K131" s="3">
        <v>41</v>
      </c>
      <c r="L131" s="3">
        <v>55</v>
      </c>
      <c r="M131" s="3">
        <f>(G131*J131)+(H131*K131)+(I131*L131)</f>
        <v>1044</v>
      </c>
      <c r="N131" s="20">
        <f>(D131/30)*M131</f>
        <v>2088</v>
      </c>
      <c r="O131" s="21">
        <f>N131+(D131/30)*M131</f>
        <v>4176</v>
      </c>
      <c r="P131" s="19">
        <f>N131+E131</f>
        <v>14088</v>
      </c>
      <c r="Q131" s="4">
        <v>4928</v>
      </c>
      <c r="R131" s="14">
        <v>0.3</v>
      </c>
      <c r="S131" s="2">
        <v>3844947478</v>
      </c>
      <c r="T131" s="2"/>
    </row>
    <row r="132" spans="1:20" s="5" customFormat="1" ht="12" x14ac:dyDescent="0.2">
      <c r="A132" s="3" t="s">
        <v>83</v>
      </c>
      <c r="B132" s="2" t="s">
        <v>191</v>
      </c>
      <c r="C132" s="8" t="s">
        <v>171</v>
      </c>
      <c r="D132" s="3">
        <v>60</v>
      </c>
      <c r="E132" s="3">
        <v>7500</v>
      </c>
      <c r="F132" s="3">
        <v>7500</v>
      </c>
      <c r="G132" s="3">
        <v>0</v>
      </c>
      <c r="H132" s="3">
        <v>6</v>
      </c>
      <c r="I132" s="3">
        <v>6</v>
      </c>
      <c r="J132" s="3">
        <v>15</v>
      </c>
      <c r="K132" s="3">
        <v>41</v>
      </c>
      <c r="L132" s="3">
        <v>55</v>
      </c>
      <c r="M132" s="3">
        <f>(G132*J132)+(H132*K132)+(I132*L132)</f>
        <v>576</v>
      </c>
      <c r="N132" s="20">
        <f>(D132/30)*M132</f>
        <v>1152</v>
      </c>
      <c r="O132" s="21">
        <f>N132+(D132/30)*M132</f>
        <v>2304</v>
      </c>
      <c r="P132" s="19">
        <f>N132+E132</f>
        <v>8652</v>
      </c>
      <c r="Q132" s="4">
        <v>4952</v>
      </c>
      <c r="R132" s="14">
        <v>0.5</v>
      </c>
      <c r="S132" s="2">
        <v>3844947478</v>
      </c>
      <c r="T132" s="2"/>
    </row>
    <row r="133" spans="1:20" s="5" customFormat="1" ht="12" x14ac:dyDescent="0.2">
      <c r="A133" s="3" t="s">
        <v>84</v>
      </c>
      <c r="B133" s="2" t="s">
        <v>85</v>
      </c>
      <c r="C133" s="8" t="s">
        <v>171</v>
      </c>
      <c r="D133" s="3">
        <v>60</v>
      </c>
      <c r="E133" s="3">
        <v>5500</v>
      </c>
      <c r="F133" s="3">
        <v>5500</v>
      </c>
      <c r="G133" s="3">
        <v>6</v>
      </c>
      <c r="H133" s="3">
        <v>4</v>
      </c>
      <c r="I133" s="3">
        <v>4</v>
      </c>
      <c r="J133" s="3">
        <v>15</v>
      </c>
      <c r="K133" s="3">
        <v>41</v>
      </c>
      <c r="L133" s="3">
        <v>55</v>
      </c>
      <c r="M133" s="3">
        <f>(G133*J133)+(H133*K133)+(I133*L133)</f>
        <v>474</v>
      </c>
      <c r="N133" s="20">
        <f>(D133/30)*M133</f>
        <v>948</v>
      </c>
      <c r="O133" s="21">
        <f>N133+(D133/30)*M133</f>
        <v>1896</v>
      </c>
      <c r="P133" s="19">
        <f>N133+E133</f>
        <v>6448</v>
      </c>
      <c r="Q133" s="4">
        <v>4968</v>
      </c>
      <c r="R133" s="14">
        <v>0.5</v>
      </c>
      <c r="S133" s="2">
        <v>3844947478</v>
      </c>
      <c r="T133" s="2"/>
    </row>
    <row r="134" spans="1:20" s="5" customFormat="1" ht="12" x14ac:dyDescent="0.2">
      <c r="A134" s="3" t="s">
        <v>86</v>
      </c>
      <c r="B134" s="2" t="s">
        <v>131</v>
      </c>
      <c r="C134" s="8" t="s">
        <v>171</v>
      </c>
      <c r="D134" s="3">
        <v>60</v>
      </c>
      <c r="E134" s="3">
        <v>5000</v>
      </c>
      <c r="F134" s="3">
        <v>5000</v>
      </c>
      <c r="G134" s="3">
        <v>0</v>
      </c>
      <c r="H134" s="3">
        <v>4</v>
      </c>
      <c r="I134" s="3">
        <v>4</v>
      </c>
      <c r="J134" s="3">
        <v>15</v>
      </c>
      <c r="K134" s="3">
        <v>41</v>
      </c>
      <c r="L134" s="3">
        <v>55</v>
      </c>
      <c r="M134" s="3">
        <f>(G134*J134)+(H134*K134)+(I134*L134)</f>
        <v>384</v>
      </c>
      <c r="N134" s="20">
        <f>(D134/30)*M134</f>
        <v>768</v>
      </c>
      <c r="O134" s="21">
        <f>N134+(D134/30)*M134</f>
        <v>1536</v>
      </c>
      <c r="P134" s="19">
        <f>N134+E134</f>
        <v>5768</v>
      </c>
      <c r="Q134" s="4">
        <v>4968</v>
      </c>
      <c r="R134" s="14">
        <v>0.23</v>
      </c>
      <c r="S134" s="2">
        <v>3844947478</v>
      </c>
      <c r="T134" s="2"/>
    </row>
    <row r="135" spans="1:20" s="5" customFormat="1" ht="12" x14ac:dyDescent="0.2">
      <c r="A135" s="3" t="s">
        <v>87</v>
      </c>
      <c r="B135" s="2" t="s">
        <v>88</v>
      </c>
      <c r="C135" s="8" t="s">
        <v>171</v>
      </c>
      <c r="D135" s="3">
        <v>60</v>
      </c>
      <c r="E135" s="3">
        <v>4000</v>
      </c>
      <c r="F135" s="3">
        <v>4000</v>
      </c>
      <c r="G135" s="3">
        <v>0</v>
      </c>
      <c r="H135" s="3">
        <v>3</v>
      </c>
      <c r="I135" s="3">
        <v>3</v>
      </c>
      <c r="J135" s="3">
        <v>15</v>
      </c>
      <c r="K135" s="3">
        <v>41</v>
      </c>
      <c r="L135" s="3">
        <v>55</v>
      </c>
      <c r="M135" s="3">
        <f>(G135*J135)+(H135*K135)+(I135*L135)</f>
        <v>288</v>
      </c>
      <c r="N135" s="20">
        <f>(D135/30)*M135</f>
        <v>576</v>
      </c>
      <c r="O135" s="21">
        <f>N135+(D135/30)*M135</f>
        <v>1152</v>
      </c>
      <c r="P135" s="19">
        <f>N135+E135</f>
        <v>4576</v>
      </c>
      <c r="Q135" s="4">
        <v>4976</v>
      </c>
      <c r="R135" s="14">
        <v>0.5</v>
      </c>
      <c r="S135" s="2">
        <v>3844947478</v>
      </c>
      <c r="T135" s="2"/>
    </row>
    <row r="136" spans="1:20" s="5" customFormat="1" ht="12" x14ac:dyDescent="0.2">
      <c r="A136" s="3" t="s">
        <v>89</v>
      </c>
      <c r="B136" s="2" t="s">
        <v>90</v>
      </c>
      <c r="C136" s="8" t="s">
        <v>171</v>
      </c>
      <c r="D136" s="3">
        <v>60</v>
      </c>
      <c r="E136" s="3">
        <v>5000</v>
      </c>
      <c r="F136" s="3">
        <v>5000</v>
      </c>
      <c r="G136" s="3">
        <v>2</v>
      </c>
      <c r="H136" s="3">
        <v>4</v>
      </c>
      <c r="I136" s="3">
        <v>4</v>
      </c>
      <c r="J136" s="3">
        <v>15</v>
      </c>
      <c r="K136" s="3">
        <v>41</v>
      </c>
      <c r="L136" s="3">
        <v>55</v>
      </c>
      <c r="M136" s="3">
        <f>(G136*J136)+(H136*K136)+(I136*L136)</f>
        <v>414</v>
      </c>
      <c r="N136" s="20">
        <f>(D136/30)*M136</f>
        <v>828</v>
      </c>
      <c r="O136" s="21">
        <f>N136+(D136/30)*M136</f>
        <v>1656</v>
      </c>
      <c r="P136" s="19">
        <f>N136+E136</f>
        <v>5828</v>
      </c>
      <c r="Q136" s="4">
        <v>4968</v>
      </c>
      <c r="R136" s="14">
        <v>0.5</v>
      </c>
      <c r="S136" s="2">
        <v>3844947478</v>
      </c>
      <c r="T136" s="2"/>
    </row>
    <row r="137" spans="1:20" s="5" customFormat="1" ht="12" x14ac:dyDescent="0.2">
      <c r="A137" s="3" t="s">
        <v>91</v>
      </c>
      <c r="B137" s="2" t="s">
        <v>132</v>
      </c>
      <c r="C137" s="8" t="s">
        <v>171</v>
      </c>
      <c r="D137" s="3">
        <v>60</v>
      </c>
      <c r="E137" s="3">
        <v>6000</v>
      </c>
      <c r="F137" s="3">
        <v>6000</v>
      </c>
      <c r="G137" s="3">
        <v>0</v>
      </c>
      <c r="H137" s="3">
        <v>5</v>
      </c>
      <c r="I137" s="3">
        <v>5</v>
      </c>
      <c r="J137" s="3">
        <v>15</v>
      </c>
      <c r="K137" s="3">
        <v>41</v>
      </c>
      <c r="L137" s="3">
        <v>55</v>
      </c>
      <c r="M137" s="3">
        <f>(G137*J137)+(H137*K137)+(I137*L137)</f>
        <v>480</v>
      </c>
      <c r="N137" s="20">
        <f>(D137/30)*M137</f>
        <v>960</v>
      </c>
      <c r="O137" s="21">
        <f>N137+(D137/30)*M137</f>
        <v>1920</v>
      </c>
      <c r="P137" s="19">
        <f>N137+E137</f>
        <v>6960</v>
      </c>
      <c r="Q137" s="4">
        <v>4960</v>
      </c>
      <c r="R137" s="14">
        <v>0.5</v>
      </c>
      <c r="S137" s="2">
        <v>3844947478</v>
      </c>
      <c r="T137" s="2"/>
    </row>
    <row r="138" spans="1:20" s="5" customFormat="1" ht="12" x14ac:dyDescent="0.2">
      <c r="A138" s="3" t="s">
        <v>92</v>
      </c>
      <c r="B138" s="2" t="s">
        <v>93</v>
      </c>
      <c r="C138" s="8" t="s">
        <v>171</v>
      </c>
      <c r="D138" s="3">
        <v>60</v>
      </c>
      <c r="E138" s="3">
        <v>5000</v>
      </c>
      <c r="F138" s="3">
        <v>5000</v>
      </c>
      <c r="G138" s="3">
        <v>0</v>
      </c>
      <c r="H138" s="3">
        <v>4</v>
      </c>
      <c r="I138" s="3">
        <v>4</v>
      </c>
      <c r="J138" s="3">
        <v>15</v>
      </c>
      <c r="K138" s="3">
        <v>41</v>
      </c>
      <c r="L138" s="3">
        <v>55</v>
      </c>
      <c r="M138" s="3">
        <f>(G138*J138)+(H138*K138)+(I138*L138)</f>
        <v>384</v>
      </c>
      <c r="N138" s="20">
        <f>(D138/30)*M138</f>
        <v>768</v>
      </c>
      <c r="O138" s="21">
        <f>N138+(D138/30)*M138</f>
        <v>1536</v>
      </c>
      <c r="P138" s="19">
        <f>N138+E138</f>
        <v>5768</v>
      </c>
      <c r="Q138" s="4">
        <v>4968</v>
      </c>
      <c r="R138" s="14">
        <v>0.5</v>
      </c>
      <c r="S138" s="2">
        <v>3844947478</v>
      </c>
      <c r="T138" s="2"/>
    </row>
    <row r="139" spans="1:20" s="5" customFormat="1" ht="12" x14ac:dyDescent="0.2">
      <c r="A139" s="3" t="s">
        <v>133</v>
      </c>
      <c r="B139" s="2" t="s">
        <v>94</v>
      </c>
      <c r="C139" s="8" t="s">
        <v>171</v>
      </c>
      <c r="D139" s="3">
        <v>60</v>
      </c>
      <c r="E139" s="3">
        <v>10500</v>
      </c>
      <c r="F139" s="3">
        <v>10500</v>
      </c>
      <c r="G139" s="3">
        <v>0</v>
      </c>
      <c r="H139" s="3">
        <v>9</v>
      </c>
      <c r="I139" s="3">
        <v>9</v>
      </c>
      <c r="J139" s="3">
        <v>15</v>
      </c>
      <c r="K139" s="3">
        <v>41</v>
      </c>
      <c r="L139" s="3">
        <v>55</v>
      </c>
      <c r="M139" s="3">
        <f>(G139*J139)+(H139*K139)+(I139*L139)</f>
        <v>864</v>
      </c>
      <c r="N139" s="20">
        <f>(D139/30)*M139</f>
        <v>1728</v>
      </c>
      <c r="O139" s="21">
        <f>N139+(D139/30)*M139</f>
        <v>3456</v>
      </c>
      <c r="P139" s="19">
        <f>N139+E139</f>
        <v>12228</v>
      </c>
      <c r="Q139" s="4">
        <v>4928</v>
      </c>
      <c r="R139" s="14">
        <v>0.5</v>
      </c>
      <c r="S139" s="2">
        <v>3844947478</v>
      </c>
      <c r="T139" s="2"/>
    </row>
    <row r="140" spans="1:20" s="5" customFormat="1" ht="12" x14ac:dyDescent="0.2">
      <c r="A140" s="3" t="s">
        <v>202</v>
      </c>
      <c r="B140" s="2" t="s">
        <v>200</v>
      </c>
      <c r="C140" s="8" t="s">
        <v>171</v>
      </c>
      <c r="D140" s="3">
        <v>10</v>
      </c>
      <c r="E140" s="3">
        <v>400</v>
      </c>
      <c r="F140" s="3">
        <v>400</v>
      </c>
      <c r="G140" s="3">
        <v>0</v>
      </c>
      <c r="H140" s="3">
        <v>1</v>
      </c>
      <c r="I140" s="3">
        <v>1</v>
      </c>
      <c r="J140" s="3">
        <v>15</v>
      </c>
      <c r="K140" s="3">
        <v>41</v>
      </c>
      <c r="L140" s="3">
        <v>55</v>
      </c>
      <c r="M140" s="3">
        <f>(G140*J140)+(H140*K140)+(I140*L140)</f>
        <v>96</v>
      </c>
      <c r="N140" s="20">
        <v>38</v>
      </c>
      <c r="O140" s="21">
        <f>N140+(D140/30)*M140</f>
        <v>70</v>
      </c>
      <c r="P140" s="19">
        <f>N140+E140</f>
        <v>438</v>
      </c>
      <c r="Q140" s="4">
        <v>4992</v>
      </c>
      <c r="R140" s="14">
        <v>0.5</v>
      </c>
      <c r="S140" s="2">
        <v>3844947478</v>
      </c>
      <c r="T140" s="2"/>
    </row>
    <row r="141" spans="1:20" s="5" customFormat="1" ht="12" x14ac:dyDescent="0.2">
      <c r="A141" s="3"/>
      <c r="B141" s="2" t="s">
        <v>199</v>
      </c>
      <c r="C141" s="8" t="s">
        <v>171</v>
      </c>
      <c r="D141" s="3">
        <v>4</v>
      </c>
      <c r="E141" s="3">
        <v>1000</v>
      </c>
      <c r="F141" s="3">
        <v>1000</v>
      </c>
      <c r="G141" s="3">
        <v>0</v>
      </c>
      <c r="H141" s="3">
        <v>0</v>
      </c>
      <c r="I141" s="3">
        <v>0</v>
      </c>
      <c r="J141" s="3">
        <v>15</v>
      </c>
      <c r="K141" s="3">
        <v>41</v>
      </c>
      <c r="L141" s="3">
        <v>55</v>
      </c>
      <c r="M141" s="3">
        <v>90</v>
      </c>
      <c r="N141" s="20">
        <f>(D141/30)*M141</f>
        <v>12</v>
      </c>
      <c r="O141" s="21">
        <f>N141+(D141/30)*M141</f>
        <v>24</v>
      </c>
      <c r="P141" s="19">
        <f>N141+E141</f>
        <v>1012</v>
      </c>
      <c r="Q141" s="4">
        <v>5000</v>
      </c>
      <c r="R141" s="14">
        <v>0.5</v>
      </c>
      <c r="S141" s="2">
        <v>3844947478</v>
      </c>
      <c r="T141" s="2"/>
    </row>
    <row r="142" spans="1:20" s="5" customFormat="1" ht="12" x14ac:dyDescent="0.2">
      <c r="A142" s="3" t="s">
        <v>95</v>
      </c>
      <c r="B142" s="2" t="s">
        <v>96</v>
      </c>
      <c r="C142" s="8" t="s">
        <v>171</v>
      </c>
      <c r="D142" s="3">
        <v>60</v>
      </c>
      <c r="E142" s="3">
        <v>5500</v>
      </c>
      <c r="F142" s="3">
        <v>5500</v>
      </c>
      <c r="G142" s="3">
        <v>4</v>
      </c>
      <c r="H142" s="3">
        <v>4</v>
      </c>
      <c r="I142" s="3">
        <v>4</v>
      </c>
      <c r="J142" s="3">
        <v>15</v>
      </c>
      <c r="K142" s="3">
        <v>41</v>
      </c>
      <c r="L142" s="3">
        <v>55</v>
      </c>
      <c r="M142" s="3">
        <f>(G142*J142)+(H142*K142)+(I142*L142)</f>
        <v>444</v>
      </c>
      <c r="N142" s="20">
        <f>(D142/30)*M142</f>
        <v>888</v>
      </c>
      <c r="O142" s="21">
        <f>N142+(D142/30)*M142</f>
        <v>1776</v>
      </c>
      <c r="P142" s="19">
        <f>N142+E142</f>
        <v>6388</v>
      </c>
      <c r="Q142" s="4">
        <v>4968</v>
      </c>
      <c r="R142" s="14">
        <v>0.5</v>
      </c>
      <c r="S142" s="2">
        <v>3844947478</v>
      </c>
      <c r="T142" s="2"/>
    </row>
    <row r="143" spans="1:20" s="5" customFormat="1" ht="12" x14ac:dyDescent="0.2">
      <c r="A143" s="3" t="s">
        <v>203</v>
      </c>
      <c r="B143" s="2" t="s">
        <v>193</v>
      </c>
      <c r="C143" s="8" t="s">
        <v>172</v>
      </c>
      <c r="D143" s="3">
        <v>4</v>
      </c>
      <c r="E143" s="3">
        <v>1000</v>
      </c>
      <c r="F143" s="3">
        <v>1000</v>
      </c>
      <c r="G143" s="3">
        <v>0</v>
      </c>
      <c r="H143" s="3">
        <v>0</v>
      </c>
      <c r="I143" s="3">
        <v>0</v>
      </c>
      <c r="J143" s="3">
        <v>15</v>
      </c>
      <c r="K143" s="3">
        <v>41</v>
      </c>
      <c r="L143" s="3">
        <v>55</v>
      </c>
      <c r="M143" s="3">
        <v>90</v>
      </c>
      <c r="N143" s="20">
        <f>(D143/30)*M143</f>
        <v>12</v>
      </c>
      <c r="O143" s="21">
        <f>N143+(D143/30)*M143</f>
        <v>24</v>
      </c>
      <c r="P143" s="19">
        <f>N143+E143</f>
        <v>1012</v>
      </c>
      <c r="Q143" s="4">
        <v>5000</v>
      </c>
      <c r="R143" s="14">
        <v>0.09</v>
      </c>
      <c r="S143" s="2">
        <v>3844947478</v>
      </c>
      <c r="T143" s="2"/>
    </row>
    <row r="144" spans="1:20" s="5" customFormat="1" ht="12" x14ac:dyDescent="0.2">
      <c r="A144" s="3" t="s">
        <v>97</v>
      </c>
      <c r="B144" s="2" t="s">
        <v>98</v>
      </c>
      <c r="C144" s="8" t="s">
        <v>172</v>
      </c>
      <c r="D144" s="3">
        <v>4</v>
      </c>
      <c r="E144" s="3">
        <v>1000</v>
      </c>
      <c r="F144" s="3">
        <v>1000</v>
      </c>
      <c r="G144" s="3">
        <v>0</v>
      </c>
      <c r="H144" s="3">
        <v>2</v>
      </c>
      <c r="I144" s="3">
        <v>2</v>
      </c>
      <c r="J144" s="3">
        <v>15</v>
      </c>
      <c r="K144" s="3">
        <v>41</v>
      </c>
      <c r="L144" s="3">
        <v>55</v>
      </c>
      <c r="M144" s="3">
        <f>(G144*J144)+(H144*K144)+(I144*L144)</f>
        <v>192</v>
      </c>
      <c r="N144" s="20">
        <f>(D144/30)*M144</f>
        <v>25.6</v>
      </c>
      <c r="O144" s="21">
        <f>N144+(D144/30)*M144</f>
        <v>51.2</v>
      </c>
      <c r="P144" s="19">
        <f>N144+E144</f>
        <v>1025.5999999999999</v>
      </c>
      <c r="Q144" s="4">
        <v>4984</v>
      </c>
      <c r="R144" s="14">
        <v>0.08</v>
      </c>
      <c r="S144" s="2">
        <v>3844947478</v>
      </c>
      <c r="T144" s="2"/>
    </row>
    <row r="145" spans="1:20" s="5" customFormat="1" ht="12" x14ac:dyDescent="0.2">
      <c r="A145" s="3" t="s">
        <v>99</v>
      </c>
      <c r="B145" s="2" t="s">
        <v>192</v>
      </c>
      <c r="C145" s="8" t="s">
        <v>171</v>
      </c>
      <c r="D145" s="3">
        <v>60</v>
      </c>
      <c r="E145" s="3">
        <v>2500</v>
      </c>
      <c r="F145" s="3">
        <v>2500</v>
      </c>
      <c r="G145" s="3">
        <v>0</v>
      </c>
      <c r="H145" s="3">
        <v>2</v>
      </c>
      <c r="I145" s="3">
        <v>2</v>
      </c>
      <c r="J145" s="3">
        <v>15</v>
      </c>
      <c r="K145" s="3">
        <v>41</v>
      </c>
      <c r="L145" s="3">
        <v>55</v>
      </c>
      <c r="M145" s="3">
        <f>(G145*J145)+(H145*K145)+(I145*L145)</f>
        <v>192</v>
      </c>
      <c r="N145" s="20">
        <f>(D145/30)*M145</f>
        <v>384</v>
      </c>
      <c r="O145" s="21">
        <f>N145+(D145/30)*M145</f>
        <v>768</v>
      </c>
      <c r="P145" s="19">
        <f>N145+E145</f>
        <v>2884</v>
      </c>
      <c r="Q145" s="4">
        <v>4984</v>
      </c>
      <c r="R145" s="14">
        <v>0.5</v>
      </c>
      <c r="S145" s="2">
        <v>3844947478</v>
      </c>
      <c r="T145" s="2"/>
    </row>
    <row r="146" spans="1:20" s="5" customFormat="1" ht="12" x14ac:dyDescent="0.2">
      <c r="A146" s="3" t="s">
        <v>100</v>
      </c>
      <c r="B146" s="2" t="s">
        <v>134</v>
      </c>
      <c r="C146" s="8" t="s">
        <v>171</v>
      </c>
      <c r="D146" s="3">
        <v>60</v>
      </c>
      <c r="E146" s="3">
        <v>19000</v>
      </c>
      <c r="F146" s="3">
        <v>19000</v>
      </c>
      <c r="G146" s="3">
        <v>4</v>
      </c>
      <c r="H146" s="3">
        <v>16</v>
      </c>
      <c r="I146" s="3">
        <v>16</v>
      </c>
      <c r="J146" s="3">
        <v>15</v>
      </c>
      <c r="K146" s="3">
        <v>41</v>
      </c>
      <c r="L146" s="3">
        <v>55</v>
      </c>
      <c r="M146" s="3">
        <f>(G146*J146)+(H146*K146)+(I146*L146)</f>
        <v>1596</v>
      </c>
      <c r="N146" s="20">
        <f>(D146/30)*M146</f>
        <v>3192</v>
      </c>
      <c r="O146" s="21">
        <f>N146+(D146/30)*M146</f>
        <v>6384</v>
      </c>
      <c r="P146" s="19">
        <f>N146+E146</f>
        <v>22192</v>
      </c>
      <c r="Q146" s="4">
        <v>4872</v>
      </c>
      <c r="R146" s="14">
        <v>0.5</v>
      </c>
      <c r="S146" s="2">
        <v>3844947478</v>
      </c>
      <c r="T146" s="2"/>
    </row>
    <row r="147" spans="1:20" s="5" customFormat="1" ht="12" x14ac:dyDescent="0.2">
      <c r="A147" s="3" t="s">
        <v>135</v>
      </c>
      <c r="B147" s="2" t="s">
        <v>136</v>
      </c>
      <c r="C147" s="8" t="s">
        <v>171</v>
      </c>
      <c r="D147" s="3">
        <v>60</v>
      </c>
      <c r="E147" s="3">
        <v>500</v>
      </c>
      <c r="F147" s="3">
        <v>500</v>
      </c>
      <c r="G147" s="3">
        <v>0</v>
      </c>
      <c r="H147" s="3">
        <v>1</v>
      </c>
      <c r="I147" s="3">
        <v>0</v>
      </c>
      <c r="J147" s="3">
        <v>15</v>
      </c>
      <c r="K147" s="3">
        <v>41</v>
      </c>
      <c r="L147" s="3">
        <v>55</v>
      </c>
      <c r="M147" s="3">
        <f>(G147*J147)+(H147*K147)+(I147*L147)</f>
        <v>41</v>
      </c>
      <c r="N147" s="20">
        <f>(D147/30)*M147</f>
        <v>82</v>
      </c>
      <c r="O147" s="21">
        <f>N147+(D147/30)*M147</f>
        <v>164</v>
      </c>
      <c r="P147" s="19">
        <f>N147+E147</f>
        <v>582</v>
      </c>
      <c r="Q147" s="4">
        <v>5000</v>
      </c>
      <c r="R147" s="14">
        <v>0.5</v>
      </c>
      <c r="S147" s="2">
        <v>3844947478</v>
      </c>
      <c r="T147" s="2"/>
    </row>
    <row r="148" spans="1:20" s="5" customFormat="1" ht="12" x14ac:dyDescent="0.2">
      <c r="A148" s="3" t="s">
        <v>101</v>
      </c>
      <c r="B148" s="2" t="s">
        <v>180</v>
      </c>
      <c r="C148" s="8" t="s">
        <v>171</v>
      </c>
      <c r="D148" s="3">
        <v>60</v>
      </c>
      <c r="E148" s="3">
        <v>1500</v>
      </c>
      <c r="F148" s="3">
        <v>1200</v>
      </c>
      <c r="G148" s="3">
        <v>0</v>
      </c>
      <c r="H148" s="3">
        <v>1</v>
      </c>
      <c r="I148" s="3">
        <v>1</v>
      </c>
      <c r="J148" s="3">
        <v>15</v>
      </c>
      <c r="K148" s="3">
        <v>41</v>
      </c>
      <c r="L148" s="3">
        <v>55</v>
      </c>
      <c r="M148" s="3">
        <f>(G148*J148)+(H148*K148)+(I148*L148)</f>
        <v>96</v>
      </c>
      <c r="N148" s="20">
        <f>(D148/30)*M148</f>
        <v>192</v>
      </c>
      <c r="O148" s="21">
        <f>N148+(D148/30)*M148</f>
        <v>384</v>
      </c>
      <c r="P148" s="19">
        <f>N148+E148</f>
        <v>1692</v>
      </c>
      <c r="Q148" s="4">
        <v>4992</v>
      </c>
      <c r="R148" s="14">
        <v>0.5</v>
      </c>
      <c r="S148" s="2">
        <v>3844947478</v>
      </c>
      <c r="T148" s="2"/>
    </row>
    <row r="149" spans="1:20" s="5" customFormat="1" ht="12" x14ac:dyDescent="0.2">
      <c r="A149" s="3" t="s">
        <v>102</v>
      </c>
      <c r="B149" s="2" t="s">
        <v>103</v>
      </c>
      <c r="C149" s="8" t="s">
        <v>171</v>
      </c>
      <c r="D149" s="3">
        <v>60</v>
      </c>
      <c r="E149" s="3">
        <v>700</v>
      </c>
      <c r="F149" s="3">
        <v>700</v>
      </c>
      <c r="G149" s="3">
        <v>0</v>
      </c>
      <c r="H149" s="3">
        <v>0</v>
      </c>
      <c r="I149" s="3">
        <v>1</v>
      </c>
      <c r="J149" s="3">
        <v>15</v>
      </c>
      <c r="K149" s="3">
        <v>41</v>
      </c>
      <c r="L149" s="3">
        <v>55</v>
      </c>
      <c r="M149" s="3">
        <f>(G149*J149)+(H149*K149)+(I149*L149)</f>
        <v>55</v>
      </c>
      <c r="N149" s="20">
        <f>(D149/30)*M149</f>
        <v>110</v>
      </c>
      <c r="O149" s="21">
        <f>N149+(D149/30)*M149</f>
        <v>220</v>
      </c>
      <c r="P149" s="19">
        <f>N149+E149</f>
        <v>810</v>
      </c>
      <c r="Q149" s="4">
        <v>4992</v>
      </c>
      <c r="R149" s="14">
        <v>0.5</v>
      </c>
      <c r="S149" s="2">
        <v>3844947478</v>
      </c>
      <c r="T149" s="2"/>
    </row>
    <row r="150" spans="1:20" s="5" customFormat="1" ht="12" x14ac:dyDescent="0.2">
      <c r="A150" s="3" t="s">
        <v>317</v>
      </c>
      <c r="B150" s="2" t="s">
        <v>104</v>
      </c>
      <c r="C150" s="8" t="s">
        <v>171</v>
      </c>
      <c r="D150" s="3">
        <v>60</v>
      </c>
      <c r="E150" s="3">
        <v>5000</v>
      </c>
      <c r="F150" s="3">
        <v>5000</v>
      </c>
      <c r="G150" s="3">
        <v>0</v>
      </c>
      <c r="H150" s="3">
        <v>4</v>
      </c>
      <c r="I150" s="3">
        <v>4</v>
      </c>
      <c r="J150" s="3">
        <v>15</v>
      </c>
      <c r="K150" s="3">
        <v>41</v>
      </c>
      <c r="L150" s="3">
        <v>55</v>
      </c>
      <c r="M150" s="3">
        <f>(G150*J150)+(H150*K150)+(I150*L150)</f>
        <v>384</v>
      </c>
      <c r="N150" s="20">
        <f>(D150/30)*M150</f>
        <v>768</v>
      </c>
      <c r="O150" s="21">
        <f>N150+(D150/30)*M150</f>
        <v>1536</v>
      </c>
      <c r="P150" s="19">
        <f>N150+E150</f>
        <v>5768</v>
      </c>
      <c r="Q150" s="4">
        <v>4968</v>
      </c>
      <c r="R150" s="14">
        <v>0.3</v>
      </c>
      <c r="S150" s="2">
        <v>3844947478</v>
      </c>
      <c r="T150" s="2"/>
    </row>
    <row r="151" spans="1:20" s="5" customFormat="1" ht="12" x14ac:dyDescent="0.2">
      <c r="A151" s="3" t="s">
        <v>140</v>
      </c>
      <c r="B151" s="2" t="s">
        <v>137</v>
      </c>
      <c r="C151" s="8" t="s">
        <v>171</v>
      </c>
      <c r="D151" s="3">
        <v>60</v>
      </c>
      <c r="E151" s="3">
        <v>500</v>
      </c>
      <c r="F151" s="3">
        <v>500</v>
      </c>
      <c r="G151" s="3">
        <v>4</v>
      </c>
      <c r="H151" s="3">
        <v>0</v>
      </c>
      <c r="I151" s="3">
        <v>0</v>
      </c>
      <c r="J151" s="3">
        <v>15</v>
      </c>
      <c r="K151" s="3">
        <v>41</v>
      </c>
      <c r="L151" s="3">
        <v>55</v>
      </c>
      <c r="M151" s="3">
        <f>(G151*J151)+(H151*K151)+(I151*L151)</f>
        <v>60</v>
      </c>
      <c r="N151" s="20">
        <f>(D151/30)*M151</f>
        <v>120</v>
      </c>
      <c r="O151" s="21">
        <f>N151+(D151/30)*M151</f>
        <v>240</v>
      </c>
      <c r="P151" s="19">
        <f>N151+E151</f>
        <v>620</v>
      </c>
      <c r="Q151" s="4">
        <v>5000</v>
      </c>
      <c r="R151" s="14">
        <v>0.4</v>
      </c>
      <c r="S151" s="2">
        <v>3844947478</v>
      </c>
      <c r="T151" s="2"/>
    </row>
    <row r="152" spans="1:20" s="5" customFormat="1" ht="12" x14ac:dyDescent="0.2">
      <c r="A152" s="3" t="s">
        <v>105</v>
      </c>
      <c r="B152" s="2" t="s">
        <v>106</v>
      </c>
      <c r="C152" s="8" t="s">
        <v>173</v>
      </c>
      <c r="D152" s="3">
        <v>40</v>
      </c>
      <c r="E152" s="3">
        <v>400</v>
      </c>
      <c r="F152" s="3">
        <v>740</v>
      </c>
      <c r="G152" s="3">
        <v>2</v>
      </c>
      <c r="H152" s="3">
        <v>2</v>
      </c>
      <c r="I152" s="3">
        <v>2</v>
      </c>
      <c r="J152" s="3">
        <v>15</v>
      </c>
      <c r="K152" s="3">
        <v>41</v>
      </c>
      <c r="L152" s="3">
        <v>55</v>
      </c>
      <c r="M152" s="3">
        <f>(G152*J152)+(H152*K152)+(I152*L152)</f>
        <v>222</v>
      </c>
      <c r="N152" s="20">
        <f>(D152/30)*M152</f>
        <v>296</v>
      </c>
      <c r="O152" s="21">
        <f>N152+(D152/30)*M152</f>
        <v>592</v>
      </c>
      <c r="P152" s="19">
        <f>N152+E152</f>
        <v>696</v>
      </c>
      <c r="Q152" s="4">
        <v>4984</v>
      </c>
      <c r="R152" s="14">
        <v>12.05</v>
      </c>
      <c r="S152" s="2">
        <v>2206687930</v>
      </c>
      <c r="T152" s="2"/>
    </row>
    <row r="153" spans="1:20" s="5" customFormat="1" ht="12" x14ac:dyDescent="0.2">
      <c r="A153" s="3" t="s">
        <v>107</v>
      </c>
      <c r="B153" s="8" t="s">
        <v>108</v>
      </c>
      <c r="C153" s="8" t="s">
        <v>174</v>
      </c>
      <c r="D153" s="3">
        <v>30</v>
      </c>
      <c r="E153" s="3">
        <v>500</v>
      </c>
      <c r="F153" s="3">
        <v>700</v>
      </c>
      <c r="G153" s="3">
        <v>0</v>
      </c>
      <c r="H153" s="3">
        <v>2</v>
      </c>
      <c r="I153" s="3">
        <v>2</v>
      </c>
      <c r="J153" s="3">
        <v>15</v>
      </c>
      <c r="K153" s="3">
        <v>41</v>
      </c>
      <c r="L153" s="3">
        <v>55</v>
      </c>
      <c r="M153" s="3">
        <f>(G153*J153)+(H153*K153)+(I153*L153)</f>
        <v>192</v>
      </c>
      <c r="N153" s="20">
        <f>(D153/30)*M153</f>
        <v>192</v>
      </c>
      <c r="O153" s="21">
        <f>N153+(D153/30)*M153</f>
        <v>384</v>
      </c>
      <c r="P153" s="19">
        <f>N153+E153</f>
        <v>692</v>
      </c>
      <c r="Q153" s="4">
        <v>4984</v>
      </c>
      <c r="R153" s="14">
        <v>0.8</v>
      </c>
      <c r="S153" s="2"/>
      <c r="T153" s="2"/>
    </row>
    <row r="154" spans="1:20" s="5" customFormat="1" ht="12" x14ac:dyDescent="0.2">
      <c r="A154" s="3" t="s">
        <v>109</v>
      </c>
      <c r="B154" s="8" t="s">
        <v>110</v>
      </c>
      <c r="C154" s="8" t="s">
        <v>172</v>
      </c>
      <c r="D154" s="3">
        <v>15</v>
      </c>
      <c r="E154" s="3">
        <v>1000</v>
      </c>
      <c r="F154" s="3">
        <v>2000</v>
      </c>
      <c r="G154" s="3">
        <v>0</v>
      </c>
      <c r="H154" s="3">
        <v>7</v>
      </c>
      <c r="I154" s="3">
        <v>6</v>
      </c>
      <c r="J154" s="3">
        <v>15</v>
      </c>
      <c r="K154" s="3">
        <v>41</v>
      </c>
      <c r="L154" s="3">
        <v>55</v>
      </c>
      <c r="M154" s="3">
        <f>(G154*J154)+(H154*K154)+(I154*L154)</f>
        <v>617</v>
      </c>
      <c r="N154" s="20">
        <f>(D154/30)*M154</f>
        <v>308.5</v>
      </c>
      <c r="O154" s="21">
        <f>N154+(D154/30)*M154</f>
        <v>617</v>
      </c>
      <c r="P154" s="19">
        <f>N154+E154</f>
        <v>1308.5</v>
      </c>
      <c r="Q154" s="4">
        <v>4952</v>
      </c>
      <c r="R154" s="14">
        <v>0.5</v>
      </c>
      <c r="S154" s="2">
        <v>2204408055</v>
      </c>
      <c r="T154" s="2"/>
    </row>
    <row r="155" spans="1:20" s="5" customFormat="1" ht="12" x14ac:dyDescent="0.2">
      <c r="A155" s="3" t="s">
        <v>138</v>
      </c>
      <c r="B155" s="2" t="s">
        <v>111</v>
      </c>
      <c r="C155" s="8" t="s">
        <v>175</v>
      </c>
      <c r="D155" s="3">
        <v>15</v>
      </c>
      <c r="E155" s="3">
        <v>60</v>
      </c>
      <c r="F155" s="3">
        <v>30</v>
      </c>
      <c r="G155" s="3">
        <v>0</v>
      </c>
      <c r="H155" s="3">
        <v>0.1</v>
      </c>
      <c r="I155" s="3">
        <v>0.1</v>
      </c>
      <c r="J155" s="3">
        <v>15</v>
      </c>
      <c r="K155" s="3">
        <v>41</v>
      </c>
      <c r="L155" s="3">
        <v>55</v>
      </c>
      <c r="M155" s="3">
        <f>(G155*J155)+(H155*K155)+(I155*L155)</f>
        <v>9.6000000000000014</v>
      </c>
      <c r="N155" s="20">
        <f>(D155/30)*M155</f>
        <v>4.8000000000000007</v>
      </c>
      <c r="O155" s="21">
        <f>N155+(D155/30)*M155</f>
        <v>9.6000000000000014</v>
      </c>
      <c r="P155" s="19">
        <f>N155+E155</f>
        <v>64.8</v>
      </c>
      <c r="Q155" s="4">
        <v>5000</v>
      </c>
      <c r="R155" s="14">
        <v>0.7</v>
      </c>
      <c r="S155" s="2"/>
      <c r="T155" s="2"/>
    </row>
    <row r="156" spans="1:20" s="5" customFormat="1" ht="12" x14ac:dyDescent="0.2">
      <c r="A156" s="3" t="s">
        <v>112</v>
      </c>
      <c r="B156" s="8" t="s">
        <v>182</v>
      </c>
      <c r="C156" s="8" t="s">
        <v>176</v>
      </c>
      <c r="D156" s="3">
        <v>30</v>
      </c>
      <c r="E156" s="3">
        <v>500</v>
      </c>
      <c r="F156" s="3">
        <v>500</v>
      </c>
      <c r="G156" s="3">
        <v>0</v>
      </c>
      <c r="H156" s="3">
        <v>1</v>
      </c>
      <c r="I156" s="3">
        <v>1</v>
      </c>
      <c r="J156" s="3">
        <v>15</v>
      </c>
      <c r="K156" s="3">
        <v>41</v>
      </c>
      <c r="L156" s="3">
        <v>55</v>
      </c>
      <c r="M156" s="3">
        <f>(G156*J156)+(H156*K156)+(I156*L156)</f>
        <v>96</v>
      </c>
      <c r="N156" s="20">
        <f>(D156/30)*M156</f>
        <v>96</v>
      </c>
      <c r="O156" s="21">
        <f>N156+(D156/30)*M156</f>
        <v>192</v>
      </c>
      <c r="P156" s="19">
        <f>N156+E156</f>
        <v>596</v>
      </c>
      <c r="Q156" s="4">
        <v>4992</v>
      </c>
      <c r="R156" s="14">
        <v>5</v>
      </c>
      <c r="S156" s="2">
        <v>3889672515</v>
      </c>
      <c r="T156" s="2"/>
    </row>
    <row r="157" spans="1:20" s="5" customFormat="1" ht="12" x14ac:dyDescent="0.2">
      <c r="A157" s="3" t="s">
        <v>66</v>
      </c>
      <c r="B157" s="8" t="s">
        <v>318</v>
      </c>
      <c r="C157" s="8" t="s">
        <v>164</v>
      </c>
      <c r="D157" s="3">
        <v>30</v>
      </c>
      <c r="E157" s="3">
        <v>100</v>
      </c>
      <c r="F157" s="3">
        <v>100</v>
      </c>
      <c r="G157" s="3">
        <v>1</v>
      </c>
      <c r="H157" s="3">
        <v>0</v>
      </c>
      <c r="I157" s="3">
        <v>0</v>
      </c>
      <c r="J157" s="3">
        <v>15</v>
      </c>
      <c r="K157" s="3">
        <v>41</v>
      </c>
      <c r="L157" s="3">
        <v>55</v>
      </c>
      <c r="M157" s="3">
        <f>(G157*J157)+(H157*K157)+(I157*L157)</f>
        <v>15</v>
      </c>
      <c r="N157" s="20">
        <f>(D157/30)*M157</f>
        <v>15</v>
      </c>
      <c r="O157" s="21">
        <f>N157+(D157/30)*M157</f>
        <v>30</v>
      </c>
      <c r="P157" s="19">
        <f>N157+E157</f>
        <v>115</v>
      </c>
      <c r="Q157" s="4">
        <v>5000</v>
      </c>
      <c r="R157" s="14"/>
      <c r="S157" s="2">
        <v>2206324429</v>
      </c>
      <c r="T157" s="2"/>
    </row>
    <row r="158" spans="1:20" s="5" customFormat="1" ht="12" x14ac:dyDescent="0.2">
      <c r="A158" s="3"/>
      <c r="B158" s="8" t="s">
        <v>183</v>
      </c>
      <c r="C158" s="8" t="s">
        <v>176</v>
      </c>
      <c r="D158" s="3">
        <v>30</v>
      </c>
      <c r="E158" s="3">
        <v>100</v>
      </c>
      <c r="F158" s="3">
        <v>100</v>
      </c>
      <c r="G158" s="3">
        <v>1</v>
      </c>
      <c r="H158" s="3">
        <v>0</v>
      </c>
      <c r="I158" s="3">
        <v>0</v>
      </c>
      <c r="J158" s="3">
        <v>15</v>
      </c>
      <c r="K158" s="3">
        <v>41</v>
      </c>
      <c r="L158" s="3">
        <v>55</v>
      </c>
      <c r="M158" s="3">
        <f>(G158*J158)+(H158*K158)+(I158*L158)</f>
        <v>15</v>
      </c>
      <c r="N158" s="20">
        <f>(D158/30)*M158</f>
        <v>15</v>
      </c>
      <c r="O158" s="21">
        <f>N158+(D158/30)*M158</f>
        <v>30</v>
      </c>
      <c r="P158" s="19">
        <f>N158+E158</f>
        <v>115</v>
      </c>
      <c r="Q158" s="4">
        <v>5000</v>
      </c>
      <c r="R158" s="14">
        <v>5</v>
      </c>
      <c r="S158" s="2">
        <v>3889672515</v>
      </c>
      <c r="T158" s="2"/>
    </row>
    <row r="159" spans="1:20" s="5" customFormat="1" ht="12" x14ac:dyDescent="0.2">
      <c r="A159" s="3" t="s">
        <v>113</v>
      </c>
      <c r="B159" s="8" t="s">
        <v>114</v>
      </c>
      <c r="C159" s="8" t="s">
        <v>177</v>
      </c>
      <c r="D159" s="3">
        <v>15</v>
      </c>
      <c r="E159" s="3">
        <v>200</v>
      </c>
      <c r="F159" s="3">
        <v>300</v>
      </c>
      <c r="G159" s="3">
        <v>2</v>
      </c>
      <c r="H159" s="3">
        <v>2</v>
      </c>
      <c r="I159" s="3">
        <v>1</v>
      </c>
      <c r="J159" s="3">
        <v>15</v>
      </c>
      <c r="K159" s="3">
        <v>41</v>
      </c>
      <c r="L159" s="3">
        <v>55</v>
      </c>
      <c r="M159" s="3">
        <f>(G159*J159)+(H159*K159)+(I159*L159)</f>
        <v>167</v>
      </c>
      <c r="N159" s="20">
        <f>(D159/30)*M159</f>
        <v>83.5</v>
      </c>
      <c r="O159" s="21">
        <f>N159+(D159/30)*M159</f>
        <v>167</v>
      </c>
      <c r="P159" s="19">
        <f>N159+E159</f>
        <v>283.5</v>
      </c>
      <c r="Q159" s="4">
        <v>4992</v>
      </c>
      <c r="R159" s="14">
        <v>2.9</v>
      </c>
      <c r="S159" s="2">
        <v>3339642978</v>
      </c>
      <c r="T159" s="2"/>
    </row>
    <row r="160" spans="1:20" s="5" customFormat="1" ht="12" x14ac:dyDescent="0.2">
      <c r="A160" s="3" t="s">
        <v>115</v>
      </c>
      <c r="B160" s="8" t="s">
        <v>116</v>
      </c>
      <c r="C160" s="8" t="s">
        <v>177</v>
      </c>
      <c r="D160" s="3">
        <v>15</v>
      </c>
      <c r="E160" s="3">
        <v>200</v>
      </c>
      <c r="F160" s="3">
        <v>300</v>
      </c>
      <c r="G160" s="3">
        <v>1</v>
      </c>
      <c r="H160" s="3">
        <v>1</v>
      </c>
      <c r="I160" s="3">
        <v>1</v>
      </c>
      <c r="J160" s="3">
        <v>15</v>
      </c>
      <c r="K160" s="3">
        <v>41</v>
      </c>
      <c r="L160" s="3">
        <v>55</v>
      </c>
      <c r="M160" s="3">
        <f>(G160*J160)+(H160*K160)+(I160*L160)</f>
        <v>111</v>
      </c>
      <c r="N160" s="20">
        <f>(D160/30)*M160</f>
        <v>55.5</v>
      </c>
      <c r="O160" s="21">
        <f>N160+(D160/30)*M160</f>
        <v>111</v>
      </c>
      <c r="P160" s="19">
        <f>N160+E160</f>
        <v>255.5</v>
      </c>
      <c r="Q160" s="4">
        <v>4992</v>
      </c>
      <c r="R160" s="14">
        <v>2.5</v>
      </c>
      <c r="S160" s="2">
        <v>3339642978</v>
      </c>
      <c r="T160" s="2"/>
    </row>
    <row r="161" spans="1:20" s="5" customFormat="1" ht="12" x14ac:dyDescent="0.2">
      <c r="A161" s="3" t="s">
        <v>117</v>
      </c>
      <c r="B161" s="8" t="s">
        <v>118</v>
      </c>
      <c r="C161" s="8" t="s">
        <v>177</v>
      </c>
      <c r="D161" s="3">
        <v>15</v>
      </c>
      <c r="E161" s="3">
        <v>200</v>
      </c>
      <c r="F161" s="3">
        <v>300</v>
      </c>
      <c r="G161" s="3">
        <v>1</v>
      </c>
      <c r="H161" s="3">
        <v>1</v>
      </c>
      <c r="I161" s="3">
        <v>1</v>
      </c>
      <c r="J161" s="3">
        <v>15</v>
      </c>
      <c r="K161" s="3">
        <v>41</v>
      </c>
      <c r="L161" s="3">
        <v>55</v>
      </c>
      <c r="M161" s="3">
        <f>(G161*J161)+(H161*K161)+(I161*L161)</f>
        <v>111</v>
      </c>
      <c r="N161" s="20">
        <f>(D161/30)*M161</f>
        <v>55.5</v>
      </c>
      <c r="O161" s="21">
        <f>N161+(D161/30)*M161</f>
        <v>111</v>
      </c>
      <c r="P161" s="19">
        <f>N161+E161</f>
        <v>255.5</v>
      </c>
      <c r="Q161" s="4">
        <v>4992</v>
      </c>
      <c r="R161" s="14">
        <v>2.5</v>
      </c>
      <c r="S161" s="2">
        <v>3339642978</v>
      </c>
      <c r="T161" s="2"/>
    </row>
    <row r="162" spans="1:20" s="5" customFormat="1" ht="12" x14ac:dyDescent="0.2">
      <c r="A162" s="3" t="s">
        <v>119</v>
      </c>
      <c r="B162" s="8" t="s">
        <v>139</v>
      </c>
      <c r="C162" s="8" t="s">
        <v>177</v>
      </c>
      <c r="D162" s="3">
        <v>15</v>
      </c>
      <c r="E162" s="3">
        <v>200</v>
      </c>
      <c r="F162" s="3">
        <v>300</v>
      </c>
      <c r="G162" s="3">
        <v>0</v>
      </c>
      <c r="H162" s="3">
        <v>1</v>
      </c>
      <c r="I162" s="3">
        <v>1</v>
      </c>
      <c r="J162" s="3">
        <v>15</v>
      </c>
      <c r="K162" s="3">
        <v>41</v>
      </c>
      <c r="L162" s="3">
        <v>55</v>
      </c>
      <c r="M162" s="3">
        <f>(G162*J162)+(H162*K162)+(I162*L162)</f>
        <v>96</v>
      </c>
      <c r="N162" s="20">
        <f>(D162/30)*M162</f>
        <v>48</v>
      </c>
      <c r="O162" s="21">
        <f>N162+(D162/30)*M162</f>
        <v>96</v>
      </c>
      <c r="P162" s="19">
        <f>N162+E162</f>
        <v>248</v>
      </c>
      <c r="Q162" s="4">
        <v>4992</v>
      </c>
      <c r="R162" s="14">
        <v>3.6</v>
      </c>
      <c r="S162" s="2">
        <v>3339642978</v>
      </c>
      <c r="T162" s="2"/>
    </row>
    <row r="163" spans="1:20" s="5" customFormat="1" ht="12" x14ac:dyDescent="0.2">
      <c r="A163" s="3" t="s">
        <v>142</v>
      </c>
      <c r="B163" s="2" t="s">
        <v>178</v>
      </c>
      <c r="C163" s="8" t="s">
        <v>164</v>
      </c>
      <c r="D163" s="3">
        <v>40</v>
      </c>
      <c r="E163" s="3">
        <v>200</v>
      </c>
      <c r="F163" s="3">
        <v>400</v>
      </c>
      <c r="G163" s="3">
        <v>0</v>
      </c>
      <c r="H163" s="3">
        <v>1</v>
      </c>
      <c r="I163" s="3">
        <v>1</v>
      </c>
      <c r="J163" s="3">
        <v>15</v>
      </c>
      <c r="K163" s="3">
        <v>41</v>
      </c>
      <c r="L163" s="3">
        <v>55</v>
      </c>
      <c r="M163" s="3">
        <f>(G163*J163)+(H163*K163)+(I163*L163)</f>
        <v>96</v>
      </c>
      <c r="N163" s="20">
        <f>(D163/30)*M163</f>
        <v>128</v>
      </c>
      <c r="O163" s="21">
        <f>N163+(D163/30)*M163</f>
        <v>256</v>
      </c>
      <c r="P163" s="19">
        <f>N163+E163</f>
        <v>328</v>
      </c>
      <c r="Q163" s="4">
        <v>4992</v>
      </c>
      <c r="R163" s="14">
        <v>21.6</v>
      </c>
      <c r="S163" s="2">
        <v>2206324429</v>
      </c>
      <c r="T163" s="2"/>
    </row>
    <row r="164" spans="1:20" s="5" customFormat="1" ht="12" x14ac:dyDescent="0.2">
      <c r="A164" s="3" t="s">
        <v>143</v>
      </c>
      <c r="B164" s="2" t="s">
        <v>144</v>
      </c>
      <c r="C164" s="8" t="s">
        <v>171</v>
      </c>
      <c r="D164" s="3">
        <v>60</v>
      </c>
      <c r="E164" s="3">
        <v>1500</v>
      </c>
      <c r="F164" s="3">
        <v>1000</v>
      </c>
      <c r="G164" s="3">
        <v>0</v>
      </c>
      <c r="H164" s="3">
        <v>1</v>
      </c>
      <c r="I164" s="3">
        <v>1</v>
      </c>
      <c r="J164" s="3">
        <v>15</v>
      </c>
      <c r="K164" s="3">
        <v>41</v>
      </c>
      <c r="L164" s="3">
        <v>55</v>
      </c>
      <c r="M164" s="3">
        <f>(G164*J164)+(H164*K164)+(I164*L164)</f>
        <v>96</v>
      </c>
      <c r="N164" s="20">
        <f>(D164/30)*M164</f>
        <v>192</v>
      </c>
      <c r="O164" s="21">
        <f>N164+(D164/30)*M164</f>
        <v>384</v>
      </c>
      <c r="P164" s="19">
        <f>N164+E164</f>
        <v>1692</v>
      </c>
      <c r="Q164" s="4">
        <v>4992</v>
      </c>
      <c r="R164" s="14">
        <v>0.5</v>
      </c>
      <c r="S164" s="2">
        <v>3844947478</v>
      </c>
      <c r="T164" s="2"/>
    </row>
    <row r="165" spans="1:20" s="5" customFormat="1" ht="12" x14ac:dyDescent="0.2">
      <c r="A165" s="3"/>
      <c r="B165" s="2"/>
      <c r="C165" s="8"/>
      <c r="D165" s="3"/>
      <c r="E165" s="3"/>
      <c r="F165" s="3"/>
      <c r="G165" s="3"/>
      <c r="H165" s="3"/>
      <c r="I165" s="3"/>
      <c r="J165" s="2"/>
      <c r="K165" s="2"/>
      <c r="L165" s="2"/>
      <c r="M165" s="2"/>
      <c r="N165" s="2"/>
      <c r="O165" s="2"/>
      <c r="P165" s="2"/>
      <c r="Q165" s="3"/>
      <c r="R165" s="15"/>
      <c r="S165" s="2"/>
      <c r="T165" s="2"/>
    </row>
    <row r="166" spans="1:20" s="5" customFormat="1" ht="12" x14ac:dyDescent="0.2">
      <c r="A166" s="3"/>
      <c r="B166" s="2"/>
      <c r="C166" s="8"/>
      <c r="D166" s="3"/>
      <c r="E166" s="3"/>
      <c r="F166" s="3"/>
      <c r="G166" s="3"/>
      <c r="H166" s="3"/>
      <c r="I166" s="3"/>
      <c r="J166" s="2"/>
      <c r="K166" s="2"/>
      <c r="L166" s="2"/>
      <c r="M166" s="2"/>
      <c r="N166" s="2"/>
      <c r="O166" s="2"/>
      <c r="P166" s="2"/>
      <c r="Q166" s="3"/>
      <c r="R166" s="15"/>
      <c r="S166" s="2"/>
      <c r="T166" s="2"/>
    </row>
    <row r="167" spans="1:20" s="5" customFormat="1" ht="12" x14ac:dyDescent="0.2">
      <c r="A167" s="3"/>
      <c r="B167" s="2"/>
      <c r="C167" s="8"/>
      <c r="D167" s="3"/>
      <c r="E167" s="3"/>
      <c r="F167" s="3"/>
      <c r="G167" s="3"/>
      <c r="H167" s="3"/>
      <c r="I167" s="3"/>
      <c r="J167" s="2"/>
      <c r="K167" s="2"/>
      <c r="L167" s="2"/>
      <c r="M167" s="2"/>
      <c r="N167" s="2"/>
      <c r="O167" s="2"/>
      <c r="P167" s="2"/>
      <c r="Q167" s="3"/>
      <c r="R167" s="15"/>
      <c r="S167" s="2"/>
      <c r="T167" s="2"/>
    </row>
    <row r="168" spans="1:20" s="5" customFormat="1" ht="12" x14ac:dyDescent="0.2">
      <c r="A168" s="3"/>
      <c r="B168" s="2"/>
      <c r="C168" s="8"/>
      <c r="D168" s="3"/>
      <c r="E168" s="3"/>
      <c r="F168" s="3"/>
      <c r="G168" s="3"/>
      <c r="H168" s="3"/>
      <c r="I168" s="3"/>
      <c r="J168" s="2"/>
      <c r="K168" s="2"/>
      <c r="L168" s="2"/>
      <c r="M168" s="2"/>
      <c r="N168" s="2"/>
      <c r="O168" s="2"/>
      <c r="P168" s="2"/>
      <c r="Q168" s="3"/>
      <c r="R168" s="15"/>
      <c r="S168" s="2"/>
      <c r="T168" s="2"/>
    </row>
    <row r="169" spans="1:20" s="5" customFormat="1" ht="12" x14ac:dyDescent="0.2">
      <c r="A169" s="3"/>
      <c r="B169" s="2"/>
      <c r="C169" s="8"/>
      <c r="D169" s="3"/>
      <c r="E169" s="3"/>
      <c r="F169" s="3"/>
      <c r="G169" s="3"/>
      <c r="H169" s="3"/>
      <c r="I169" s="3"/>
      <c r="J169" s="2"/>
      <c r="K169" s="2"/>
      <c r="L169" s="2"/>
      <c r="M169" s="2"/>
      <c r="N169" s="2"/>
      <c r="O169" s="2"/>
      <c r="P169" s="2"/>
      <c r="Q169" s="3"/>
      <c r="R169" s="15"/>
      <c r="S169" s="2"/>
      <c r="T169" s="2"/>
    </row>
    <row r="170" spans="1:20" ht="12" x14ac:dyDescent="0.2">
      <c r="R170" s="16"/>
    </row>
    <row r="171" spans="1:20" ht="12" x14ac:dyDescent="0.2">
      <c r="R171" s="16"/>
    </row>
    <row r="172" spans="1:20" ht="12" x14ac:dyDescent="0.2">
      <c r="R172" s="16"/>
    </row>
    <row r="173" spans="1:20" ht="12" x14ac:dyDescent="0.2">
      <c r="R173" s="16"/>
    </row>
    <row r="174" spans="1:20" ht="12" x14ac:dyDescent="0.2">
      <c r="R174" s="16"/>
    </row>
    <row r="175" spans="1:20" ht="12" x14ac:dyDescent="0.2">
      <c r="R175" s="16"/>
    </row>
    <row r="176" spans="1:20" ht="12" x14ac:dyDescent="0.2">
      <c r="R176" s="16"/>
    </row>
    <row r="177" spans="18:18" ht="12" x14ac:dyDescent="0.2">
      <c r="R177" s="16"/>
    </row>
    <row r="178" spans="18:18" ht="12" x14ac:dyDescent="0.2">
      <c r="R178" s="16"/>
    </row>
    <row r="179" spans="18:18" ht="12" x14ac:dyDescent="0.2">
      <c r="R179" s="16"/>
    </row>
    <row r="180" spans="18:18" ht="12" x14ac:dyDescent="0.2">
      <c r="R180" s="16"/>
    </row>
    <row r="181" spans="18:18" ht="12" x14ac:dyDescent="0.2">
      <c r="R181" s="16"/>
    </row>
    <row r="182" spans="18:18" ht="12" x14ac:dyDescent="0.2">
      <c r="R182" s="16"/>
    </row>
    <row r="183" spans="18:18" ht="12" x14ac:dyDescent="0.2">
      <c r="R183" s="16"/>
    </row>
    <row r="184" spans="18:18" ht="12" x14ac:dyDescent="0.2">
      <c r="R184" s="16"/>
    </row>
    <row r="185" spans="18:18" x14ac:dyDescent="0.2">
      <c r="R185" s="17"/>
    </row>
    <row r="186" spans="18:18" x14ac:dyDescent="0.2">
      <c r="R186" s="17"/>
    </row>
    <row r="187" spans="18:18" x14ac:dyDescent="0.2">
      <c r="R187" s="17"/>
    </row>
    <row r="188" spans="18:18" x14ac:dyDescent="0.2">
      <c r="R188" s="17"/>
    </row>
    <row r="189" spans="18:18" x14ac:dyDescent="0.2">
      <c r="R189" s="17"/>
    </row>
    <row r="190" spans="18:18" x14ac:dyDescent="0.2">
      <c r="R190" s="17"/>
    </row>
    <row r="191" spans="18:18" x14ac:dyDescent="0.2">
      <c r="R191" s="17"/>
    </row>
    <row r="192" spans="18:18" x14ac:dyDescent="0.2">
      <c r="R192" s="17"/>
    </row>
    <row r="193" spans="18:18" x14ac:dyDescent="0.2">
      <c r="R193" s="17"/>
    </row>
    <row r="194" spans="18:18" x14ac:dyDescent="0.2">
      <c r="R194" s="17"/>
    </row>
    <row r="195" spans="18:18" x14ac:dyDescent="0.2">
      <c r="R195" s="17"/>
    </row>
    <row r="196" spans="18:18" x14ac:dyDescent="0.2">
      <c r="R196" s="17"/>
    </row>
    <row r="197" spans="18:18" x14ac:dyDescent="0.2">
      <c r="R197" s="17"/>
    </row>
    <row r="198" spans="18:18" x14ac:dyDescent="0.2">
      <c r="R198" s="17"/>
    </row>
    <row r="199" spans="18:18" x14ac:dyDescent="0.2">
      <c r="R199" s="17"/>
    </row>
    <row r="200" spans="18:18" x14ac:dyDescent="0.2">
      <c r="R200" s="17"/>
    </row>
    <row r="201" spans="18:18" x14ac:dyDescent="0.2">
      <c r="R201" s="17"/>
    </row>
    <row r="202" spans="18:18" x14ac:dyDescent="0.2">
      <c r="R202" s="17"/>
    </row>
    <row r="203" spans="18:18" x14ac:dyDescent="0.2">
      <c r="R203" s="17"/>
    </row>
    <row r="204" spans="18:18" x14ac:dyDescent="0.2">
      <c r="R204" s="17"/>
    </row>
    <row r="205" spans="18:18" x14ac:dyDescent="0.2">
      <c r="R205" s="17"/>
    </row>
    <row r="206" spans="18:18" x14ac:dyDescent="0.2">
      <c r="R206" s="17"/>
    </row>
    <row r="207" spans="18:18" x14ac:dyDescent="0.2">
      <c r="R207" s="17"/>
    </row>
    <row r="208" spans="18:18" x14ac:dyDescent="0.2">
      <c r="R208" s="17"/>
    </row>
    <row r="209" spans="18:18" x14ac:dyDescent="0.2">
      <c r="R209" s="17"/>
    </row>
    <row r="210" spans="18:18" x14ac:dyDescent="0.2">
      <c r="R210" s="17"/>
    </row>
    <row r="211" spans="18:18" x14ac:dyDescent="0.2">
      <c r="R211" s="17"/>
    </row>
    <row r="212" spans="18:18" x14ac:dyDescent="0.2">
      <c r="R212" s="17"/>
    </row>
    <row r="213" spans="18:18" x14ac:dyDescent="0.2">
      <c r="R213" s="17"/>
    </row>
    <row r="214" spans="18:18" x14ac:dyDescent="0.2">
      <c r="R214" s="17"/>
    </row>
    <row r="215" spans="18:18" x14ac:dyDescent="0.2">
      <c r="R215" s="17"/>
    </row>
    <row r="216" spans="18:18" x14ac:dyDescent="0.2">
      <c r="R216" s="17"/>
    </row>
    <row r="217" spans="18:18" x14ac:dyDescent="0.2">
      <c r="R217" s="17"/>
    </row>
    <row r="218" spans="18:18" x14ac:dyDescent="0.2">
      <c r="R218" s="17"/>
    </row>
    <row r="219" spans="18:18" x14ac:dyDescent="0.2">
      <c r="R219" s="17"/>
    </row>
    <row r="220" spans="18:18" x14ac:dyDescent="0.2">
      <c r="R220" s="17"/>
    </row>
    <row r="221" spans="18:18" x14ac:dyDescent="0.2">
      <c r="R221" s="17"/>
    </row>
    <row r="222" spans="18:18" x14ac:dyDescent="0.2">
      <c r="R222" s="17"/>
    </row>
    <row r="223" spans="18:18" x14ac:dyDescent="0.2">
      <c r="R223" s="17"/>
    </row>
    <row r="224" spans="18:18" x14ac:dyDescent="0.2">
      <c r="R224" s="17"/>
    </row>
    <row r="225" spans="18:18" x14ac:dyDescent="0.2">
      <c r="R225" s="17"/>
    </row>
    <row r="226" spans="18:18" x14ac:dyDescent="0.2">
      <c r="R226" s="17"/>
    </row>
    <row r="227" spans="18:18" x14ac:dyDescent="0.2">
      <c r="R227" s="17"/>
    </row>
    <row r="228" spans="18:18" x14ac:dyDescent="0.2">
      <c r="R228" s="17"/>
    </row>
    <row r="229" spans="18:18" x14ac:dyDescent="0.2">
      <c r="R229" s="17"/>
    </row>
    <row r="230" spans="18:18" x14ac:dyDescent="0.2">
      <c r="R230" s="17"/>
    </row>
    <row r="231" spans="18:18" x14ac:dyDescent="0.2">
      <c r="R231" s="17"/>
    </row>
    <row r="232" spans="18:18" x14ac:dyDescent="0.2">
      <c r="R232" s="17"/>
    </row>
    <row r="233" spans="18:18" x14ac:dyDescent="0.2">
      <c r="R233" s="17"/>
    </row>
    <row r="234" spans="18:18" x14ac:dyDescent="0.2">
      <c r="R234" s="17"/>
    </row>
    <row r="235" spans="18:18" x14ac:dyDescent="0.2">
      <c r="R235" s="17"/>
    </row>
    <row r="236" spans="18:18" x14ac:dyDescent="0.2">
      <c r="R236" s="17"/>
    </row>
    <row r="237" spans="18:18" x14ac:dyDescent="0.2">
      <c r="R237" s="17"/>
    </row>
    <row r="238" spans="18:18" x14ac:dyDescent="0.2">
      <c r="R238" s="17"/>
    </row>
    <row r="239" spans="18:18" x14ac:dyDescent="0.2">
      <c r="R239" s="17"/>
    </row>
    <row r="240" spans="18:18" x14ac:dyDescent="0.2">
      <c r="R240" s="17"/>
    </row>
    <row r="241" spans="18:18" x14ac:dyDescent="0.2">
      <c r="R241" s="17"/>
    </row>
  </sheetData>
  <phoneticPr fontId="0" type="noConversion"/>
  <conditionalFormatting sqref="Q2:Q164">
    <cfRule type="colorScale" priority="165">
      <colorScale>
        <cfvo type="num" val="$N$2"/>
        <cfvo type="num" val="$O$2"/>
        <cfvo type="num" val="$P$2"/>
        <color rgb="FFFF0000"/>
        <color rgb="FFFFFF00"/>
        <color rgb="FF00B050"/>
      </colorScale>
    </cfRule>
  </conditionalFormatting>
  <conditionalFormatting sqref="N133">
    <cfRule type="colorScale" priority="29">
      <colorScale>
        <cfvo type="num" val="$N$32"/>
        <cfvo type="num" val="$O$32"/>
        <cfvo type="num" val="$P$32"/>
        <color rgb="FFFF0000"/>
        <color rgb="FFFFFF00"/>
        <color rgb="FF00B050"/>
      </colorScale>
    </cfRule>
  </conditionalFormatting>
  <pageMargins left="0.47244094488188981" right="0.51181102362204722" top="0.51181102362204722" bottom="0.47244094488188981" header="0.51181102362204722" footer="0.51181102362204722"/>
  <pageSetup paperSize="9" orientation="portrait" horizontalDpi="4294967294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Pneumark 01</dc:creator>
  <cp:lastModifiedBy>Pneumark 01</cp:lastModifiedBy>
  <cp:lastPrinted>2025-06-02T13:04:39Z</cp:lastPrinted>
  <dcterms:created xsi:type="dcterms:W3CDTF">2007-10-14T16:30:29Z</dcterms:created>
  <dcterms:modified xsi:type="dcterms:W3CDTF">2025-08-06T22:07:38Z</dcterms:modified>
</cp:coreProperties>
</file>