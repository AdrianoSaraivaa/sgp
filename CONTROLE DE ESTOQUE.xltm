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X:\NOVA-ESTRUTURA\PNEUMARK\DIRETORIA\SARAIVA\DOCUMENTAÇÃO PLANILHA ESTOQUE\"/>
    </mc:Choice>
  </mc:AlternateContent>
  <bookViews>
    <workbookView xWindow="0" yWindow="0" windowWidth="20490" windowHeight="9495" activeTab="1"/>
  </bookViews>
  <sheets>
    <sheet name="ProdutosOmie" sheetId="238" r:id="rId1"/>
    <sheet name="LISTA" sheetId="5" r:id="rId2"/>
    <sheet name="Planilha1" sheetId="240" r:id="rId3"/>
    <sheet name="INDICADORES" sheetId="236" r:id="rId4"/>
    <sheet name="HISTÓRICO_COMPRAS" sheetId="237" r:id="rId5"/>
    <sheet name="ACURACIDADE" sheetId="235" r:id="rId6"/>
    <sheet name="LOG" sheetId="239" r:id="rId7"/>
  </sheets>
  <functionGroups builtInGroupCount="18"/>
  <definedNames>
    <definedName name="_xlnm._FilterDatabase" localSheetId="1" hidden="1">LISTA!$A$5:$Q$64</definedName>
    <definedName name="_xlnm.Print_Area" localSheetId="5">ACURACIDADE!$L$1:$X$24</definedName>
  </definedNames>
  <calcPr calcId="162913"/>
</workbook>
</file>

<file path=xl/calcChain.xml><?xml version="1.0" encoding="utf-8"?>
<calcChain xmlns="http://schemas.openxmlformats.org/spreadsheetml/2006/main">
  <c r="G134" i="235" l="1"/>
  <c r="G133" i="235"/>
  <c r="G132" i="235"/>
  <c r="G131" i="235"/>
  <c r="G130" i="235"/>
  <c r="G129" i="235"/>
  <c r="G128" i="235"/>
  <c r="G127" i="235"/>
  <c r="G126" i="235"/>
  <c r="G125" i="235"/>
  <c r="G124" i="235"/>
  <c r="G123" i="235"/>
  <c r="G122" i="235"/>
  <c r="G121" i="235"/>
  <c r="G120" i="235"/>
  <c r="G119" i="235"/>
  <c r="G118" i="235"/>
  <c r="G117" i="235"/>
  <c r="G116" i="235"/>
  <c r="G115" i="235"/>
  <c r="G114" i="235"/>
  <c r="G113" i="235"/>
  <c r="G112" i="235"/>
  <c r="G111" i="235"/>
  <c r="G110" i="235"/>
  <c r="G109" i="235"/>
  <c r="G108" i="235"/>
  <c r="G107" i="235"/>
  <c r="G106" i="235"/>
  <c r="G105" i="235"/>
  <c r="G104" i="235"/>
  <c r="G103" i="235"/>
  <c r="G102" i="235"/>
  <c r="G101" i="235"/>
  <c r="G100" i="235"/>
  <c r="G99" i="235"/>
  <c r="G98" i="235"/>
  <c r="G97" i="235"/>
  <c r="G96" i="235"/>
  <c r="G95" i="235"/>
  <c r="G94" i="235"/>
  <c r="G93" i="235"/>
  <c r="G92" i="235"/>
  <c r="G91" i="235"/>
  <c r="G90" i="235"/>
  <c r="P89" i="235"/>
  <c r="G89" i="235"/>
  <c r="P60" i="235"/>
  <c r="P59" i="235"/>
  <c r="P58" i="235"/>
  <c r="P57" i="235"/>
  <c r="P56" i="235"/>
  <c r="P55" i="235"/>
  <c r="P54" i="235"/>
  <c r="P53" i="235"/>
  <c r="P52" i="235"/>
  <c r="P51" i="235"/>
  <c r="P50" i="235"/>
  <c r="P49" i="235"/>
  <c r="P48" i="235"/>
  <c r="P47" i="235"/>
  <c r="P46" i="235"/>
  <c r="P45" i="235"/>
  <c r="P44" i="235"/>
  <c r="P43" i="235"/>
  <c r="P42" i="235"/>
  <c r="P41" i="235"/>
  <c r="P40" i="235"/>
  <c r="P39" i="235"/>
  <c r="P38" i="235"/>
  <c r="P37" i="235"/>
  <c r="P36" i="235"/>
  <c r="P35" i="235"/>
  <c r="P34" i="235"/>
  <c r="P33" i="235"/>
  <c r="P32" i="235"/>
  <c r="P31" i="235"/>
  <c r="P30" i="235"/>
  <c r="P29" i="235"/>
  <c r="G29" i="235"/>
  <c r="P28" i="235"/>
  <c r="G28" i="235"/>
  <c r="P27" i="235"/>
  <c r="G27" i="235"/>
  <c r="P26" i="235"/>
  <c r="G26" i="235"/>
  <c r="P25" i="235"/>
  <c r="G25" i="235"/>
  <c r="P24" i="235"/>
  <c r="G24" i="235"/>
  <c r="P23" i="235"/>
  <c r="G23" i="235"/>
  <c r="P22" i="235"/>
  <c r="G22" i="235"/>
  <c r="P21" i="235"/>
  <c r="G21" i="235"/>
  <c r="P20" i="235"/>
  <c r="G20" i="235"/>
  <c r="P19" i="235"/>
  <c r="G19" i="235"/>
  <c r="P18" i="235"/>
  <c r="G18" i="235"/>
  <c r="P17" i="235"/>
  <c r="G17" i="235"/>
  <c r="P16" i="235"/>
  <c r="G16" i="235"/>
  <c r="P15" i="235"/>
  <c r="G15" i="235"/>
  <c r="P14" i="235"/>
  <c r="G14" i="235"/>
  <c r="P13" i="235"/>
  <c r="G13" i="235"/>
  <c r="P12" i="235"/>
  <c r="G12" i="235"/>
  <c r="P11" i="235"/>
  <c r="G11" i="235"/>
  <c r="P10" i="235"/>
  <c r="G10" i="235"/>
  <c r="P9" i="235"/>
  <c r="G9" i="235"/>
  <c r="P8" i="235"/>
  <c r="G8" i="235"/>
  <c r="G7" i="235"/>
  <c r="U169" i="5"/>
  <c r="N169" i="5"/>
  <c r="P169" i="5" s="1"/>
  <c r="M169" i="5"/>
  <c r="U168" i="5"/>
  <c r="M168" i="5"/>
  <c r="N168" i="5" s="1"/>
  <c r="O168" i="5" s="1"/>
  <c r="U167" i="5"/>
  <c r="M167" i="5"/>
  <c r="N167" i="5" s="1"/>
  <c r="U166" i="5"/>
  <c r="N166" i="5"/>
  <c r="P166" i="5" s="1"/>
  <c r="M166" i="5"/>
  <c r="U165" i="5"/>
  <c r="O165" i="5"/>
  <c r="N165" i="5"/>
  <c r="P165" i="5" s="1"/>
  <c r="M165" i="5"/>
  <c r="U164" i="5"/>
  <c r="M164" i="5"/>
  <c r="N164" i="5" s="1"/>
  <c r="O164" i="5" s="1"/>
  <c r="U163" i="5"/>
  <c r="M163" i="5"/>
  <c r="N163" i="5" s="1"/>
  <c r="M162" i="5"/>
  <c r="N162" i="5" s="1"/>
  <c r="U161" i="5"/>
  <c r="M161" i="5"/>
  <c r="N161" i="5" s="1"/>
  <c r="P161" i="5" s="1"/>
  <c r="U160" i="5"/>
  <c r="M160" i="5"/>
  <c r="N160" i="5" s="1"/>
  <c r="U159" i="5"/>
  <c r="M159" i="5"/>
  <c r="N159" i="5" s="1"/>
  <c r="O159" i="5" s="1"/>
  <c r="U158" i="5"/>
  <c r="M158" i="5"/>
  <c r="N158" i="5" s="1"/>
  <c r="U157" i="5"/>
  <c r="M157" i="5"/>
  <c r="N157" i="5" s="1"/>
  <c r="U156" i="5"/>
  <c r="N156" i="5"/>
  <c r="P156" i="5" s="1"/>
  <c r="M156" i="5"/>
  <c r="U155" i="5"/>
  <c r="M155" i="5"/>
  <c r="N155" i="5" s="1"/>
  <c r="O155" i="5" s="1"/>
  <c r="U154" i="5"/>
  <c r="N154" i="5"/>
  <c r="M154" i="5"/>
  <c r="U153" i="5"/>
  <c r="N153" i="5"/>
  <c r="M153" i="5"/>
  <c r="U152" i="5"/>
  <c r="O152" i="5"/>
  <c r="N152" i="5"/>
  <c r="P152" i="5" s="1"/>
  <c r="M152" i="5"/>
  <c r="U151" i="5"/>
  <c r="P151" i="5"/>
  <c r="M151" i="5"/>
  <c r="N151" i="5" s="1"/>
  <c r="O151" i="5" s="1"/>
  <c r="U150" i="5"/>
  <c r="M150" i="5"/>
  <c r="N150" i="5" s="1"/>
  <c r="U149" i="5"/>
  <c r="N149" i="5"/>
  <c r="P149" i="5" s="1"/>
  <c r="M149" i="5"/>
  <c r="U148" i="5"/>
  <c r="P148" i="5"/>
  <c r="O148" i="5"/>
  <c r="N148" i="5"/>
  <c r="U147" i="5"/>
  <c r="M147" i="5"/>
  <c r="N147" i="5" s="1"/>
  <c r="U146" i="5"/>
  <c r="N146" i="5"/>
  <c r="O146" i="5" s="1"/>
  <c r="U145" i="5"/>
  <c r="P145" i="5"/>
  <c r="M145" i="5"/>
  <c r="O145" i="5" s="1"/>
  <c r="U144" i="5"/>
  <c r="M144" i="5"/>
  <c r="N144" i="5" s="1"/>
  <c r="U143" i="5"/>
  <c r="M143" i="5"/>
  <c r="N143" i="5" s="1"/>
  <c r="U142" i="5"/>
  <c r="N142" i="5"/>
  <c r="P142" i="5" s="1"/>
  <c r="M142" i="5"/>
  <c r="U141" i="5"/>
  <c r="M141" i="5"/>
  <c r="N141" i="5" s="1"/>
  <c r="U140" i="5"/>
  <c r="M140" i="5"/>
  <c r="N140" i="5" s="1"/>
  <c r="O140" i="5" s="1"/>
  <c r="U139" i="5"/>
  <c r="M139" i="5"/>
  <c r="N139" i="5" s="1"/>
  <c r="U138" i="5"/>
  <c r="M138" i="5"/>
  <c r="N138" i="5" s="1"/>
  <c r="U137" i="5"/>
  <c r="M137" i="5"/>
  <c r="N137" i="5" s="1"/>
  <c r="U136" i="5"/>
  <c r="M136" i="5"/>
  <c r="N136" i="5" s="1"/>
  <c r="O136" i="5" s="1"/>
  <c r="U135" i="5"/>
  <c r="N135" i="5"/>
  <c r="M135" i="5"/>
  <c r="U134" i="5"/>
  <c r="M134" i="5"/>
  <c r="N134" i="5" s="1"/>
  <c r="U133" i="5"/>
  <c r="N133" i="5"/>
  <c r="P133" i="5" s="1"/>
  <c r="M133" i="5"/>
  <c r="U132" i="5"/>
  <c r="M132" i="5"/>
  <c r="N132" i="5" s="1"/>
  <c r="O132" i="5" s="1"/>
  <c r="U131" i="5"/>
  <c r="M131" i="5"/>
  <c r="N131" i="5" s="1"/>
  <c r="U130" i="5"/>
  <c r="N130" i="5"/>
  <c r="P130" i="5" s="1"/>
  <c r="M130" i="5"/>
  <c r="U129" i="5"/>
  <c r="O129" i="5"/>
  <c r="N129" i="5"/>
  <c r="P129" i="5" s="1"/>
  <c r="M129" i="5"/>
  <c r="U128" i="5"/>
  <c r="M128" i="5"/>
  <c r="N128" i="5" s="1"/>
  <c r="U127" i="5"/>
  <c r="M127" i="5"/>
  <c r="N127" i="5" s="1"/>
  <c r="U126" i="5"/>
  <c r="N126" i="5"/>
  <c r="P126" i="5" s="1"/>
  <c r="M126" i="5"/>
  <c r="U125" i="5"/>
  <c r="O125" i="5"/>
  <c r="N125" i="5"/>
  <c r="P125" i="5" s="1"/>
  <c r="M125" i="5"/>
  <c r="U124" i="5"/>
  <c r="M124" i="5"/>
  <c r="N124" i="5" s="1"/>
  <c r="O124" i="5" s="1"/>
  <c r="U123" i="5"/>
  <c r="M123" i="5"/>
  <c r="N123" i="5" s="1"/>
  <c r="U122" i="5"/>
  <c r="O122" i="5"/>
  <c r="N122" i="5"/>
  <c r="P122" i="5" s="1"/>
  <c r="M122" i="5"/>
  <c r="U121" i="5"/>
  <c r="M121" i="5"/>
  <c r="N121" i="5" s="1"/>
  <c r="P121" i="5" s="1"/>
  <c r="U120" i="5"/>
  <c r="M120" i="5"/>
  <c r="N120" i="5" s="1"/>
  <c r="O120" i="5" s="1"/>
  <c r="U119" i="5"/>
  <c r="N119" i="5"/>
  <c r="M119" i="5"/>
  <c r="U118" i="5"/>
  <c r="M118" i="5"/>
  <c r="N118" i="5" s="1"/>
  <c r="U117" i="5"/>
  <c r="N117" i="5"/>
  <c r="P117" i="5" s="1"/>
  <c r="M117" i="5"/>
  <c r="U116" i="5"/>
  <c r="M116" i="5"/>
  <c r="N116" i="5" s="1"/>
  <c r="O116" i="5" s="1"/>
  <c r="U115" i="5"/>
  <c r="U114" i="5"/>
  <c r="N114" i="5"/>
  <c r="P114" i="5" s="1"/>
  <c r="M114" i="5"/>
  <c r="U113" i="5"/>
  <c r="M113" i="5"/>
  <c r="N113" i="5" s="1"/>
  <c r="U112" i="5"/>
  <c r="M112" i="5"/>
  <c r="N112" i="5" s="1"/>
  <c r="O112" i="5" s="1"/>
  <c r="U111" i="5"/>
  <c r="N111" i="5"/>
  <c r="M111" i="5"/>
  <c r="U110" i="5"/>
  <c r="M110" i="5"/>
  <c r="N110" i="5" s="1"/>
  <c r="U109" i="5"/>
  <c r="N109" i="5"/>
  <c r="P109" i="5" s="1"/>
  <c r="M109" i="5"/>
  <c r="U108" i="5"/>
  <c r="M108" i="5"/>
  <c r="N108" i="5" s="1"/>
  <c r="O108" i="5" s="1"/>
  <c r="V107" i="5"/>
  <c r="U107" i="5" s="1"/>
  <c r="M107" i="5"/>
  <c r="N107" i="5" s="1"/>
  <c r="V106" i="5"/>
  <c r="U106" i="5"/>
  <c r="M106" i="5"/>
  <c r="N106" i="5" s="1"/>
  <c r="O106" i="5" s="1"/>
  <c r="V105" i="5"/>
  <c r="U105" i="5" s="1"/>
  <c r="M105" i="5"/>
  <c r="N105" i="5" s="1"/>
  <c r="V104" i="5"/>
  <c r="U104" i="5"/>
  <c r="M104" i="5"/>
  <c r="N104" i="5" s="1"/>
  <c r="O104" i="5" s="1"/>
  <c r="V103" i="5"/>
  <c r="U103" i="5" s="1"/>
  <c r="M103" i="5"/>
  <c r="N103" i="5" s="1"/>
  <c r="V102" i="5"/>
  <c r="U102" i="5" s="1"/>
  <c r="M102" i="5"/>
  <c r="N102" i="5" s="1"/>
  <c r="O102" i="5" s="1"/>
  <c r="V101" i="5"/>
  <c r="U101" i="5" s="1"/>
  <c r="M101" i="5"/>
  <c r="N101" i="5" s="1"/>
  <c r="V100" i="5"/>
  <c r="U100" i="5"/>
  <c r="M100" i="5"/>
  <c r="N100" i="5" s="1"/>
  <c r="O100" i="5" s="1"/>
  <c r="V99" i="5"/>
  <c r="U99" i="5" s="1"/>
  <c r="M99" i="5"/>
  <c r="N99" i="5" s="1"/>
  <c r="V98" i="5"/>
  <c r="U98" i="5"/>
  <c r="M98" i="5"/>
  <c r="N98" i="5" s="1"/>
  <c r="O98" i="5" s="1"/>
  <c r="V97" i="5"/>
  <c r="U97" i="5" s="1"/>
  <c r="M97" i="5"/>
  <c r="N97" i="5" s="1"/>
  <c r="V96" i="5"/>
  <c r="U96" i="5"/>
  <c r="M96" i="5"/>
  <c r="N96" i="5" s="1"/>
  <c r="O96" i="5" s="1"/>
  <c r="V95" i="5"/>
  <c r="U95" i="5" s="1"/>
  <c r="M95" i="5"/>
  <c r="N95" i="5" s="1"/>
  <c r="V94" i="5"/>
  <c r="U94" i="5" s="1"/>
  <c r="M94" i="5"/>
  <c r="N94" i="5" s="1"/>
  <c r="O94" i="5" s="1"/>
  <c r="V93" i="5"/>
  <c r="U93" i="5" s="1"/>
  <c r="M93" i="5"/>
  <c r="N93" i="5" s="1"/>
  <c r="V92" i="5"/>
  <c r="U92" i="5"/>
  <c r="M92" i="5"/>
  <c r="N92" i="5" s="1"/>
  <c r="O92" i="5" s="1"/>
  <c r="V91" i="5"/>
  <c r="U91" i="5" s="1"/>
  <c r="M91" i="5"/>
  <c r="N91" i="5" s="1"/>
  <c r="V90" i="5"/>
  <c r="U90" i="5"/>
  <c r="M90" i="5"/>
  <c r="N90" i="5" s="1"/>
  <c r="O90" i="5" s="1"/>
  <c r="V89" i="5"/>
  <c r="U89" i="5"/>
  <c r="M89" i="5"/>
  <c r="N89" i="5" s="1"/>
  <c r="V88" i="5"/>
  <c r="U88" i="5" s="1"/>
  <c r="M88" i="5"/>
  <c r="N88" i="5" s="1"/>
  <c r="V87" i="5"/>
  <c r="U87" i="5" s="1"/>
  <c r="M87" i="5"/>
  <c r="N87" i="5" s="1"/>
  <c r="V86" i="5"/>
  <c r="U86" i="5" s="1"/>
  <c r="M86" i="5"/>
  <c r="N86" i="5" s="1"/>
  <c r="V85" i="5"/>
  <c r="U85" i="5"/>
  <c r="M85" i="5"/>
  <c r="N85" i="5" s="1"/>
  <c r="O85" i="5" s="1"/>
  <c r="V84" i="5"/>
  <c r="U84" i="5" s="1"/>
  <c r="M84" i="5"/>
  <c r="N84" i="5" s="1"/>
  <c r="P84" i="5" s="1"/>
  <c r="V83" i="5"/>
  <c r="U83" i="5" s="1"/>
  <c r="M83" i="5"/>
  <c r="N83" i="5" s="1"/>
  <c r="O83" i="5" s="1"/>
  <c r="V82" i="5"/>
  <c r="U82" i="5" s="1"/>
  <c r="M82" i="5"/>
  <c r="N82" i="5" s="1"/>
  <c r="P82" i="5" s="1"/>
  <c r="V81" i="5"/>
  <c r="U81" i="5" s="1"/>
  <c r="M81" i="5"/>
  <c r="N81" i="5" s="1"/>
  <c r="O81" i="5" s="1"/>
  <c r="V80" i="5"/>
  <c r="U80" i="5" s="1"/>
  <c r="M80" i="5"/>
  <c r="N80" i="5" s="1"/>
  <c r="P80" i="5" s="1"/>
  <c r="V79" i="5"/>
  <c r="U79" i="5"/>
  <c r="M79" i="5"/>
  <c r="N79" i="5" s="1"/>
  <c r="O79" i="5" s="1"/>
  <c r="V78" i="5"/>
  <c r="U78" i="5" s="1"/>
  <c r="M78" i="5"/>
  <c r="N78" i="5" s="1"/>
  <c r="P78" i="5" s="1"/>
  <c r="V77" i="5"/>
  <c r="U77" i="5" s="1"/>
  <c r="M77" i="5"/>
  <c r="N77" i="5" s="1"/>
  <c r="O77" i="5" s="1"/>
  <c r="V76" i="5"/>
  <c r="U76" i="5" s="1"/>
  <c r="M76" i="5"/>
  <c r="N76" i="5" s="1"/>
  <c r="O76" i="5" s="1"/>
  <c r="V75" i="5"/>
  <c r="U75" i="5" s="1"/>
  <c r="M75" i="5"/>
  <c r="N75" i="5" s="1"/>
  <c r="O75" i="5" s="1"/>
  <c r="V74" i="5"/>
  <c r="U74" i="5"/>
  <c r="M74" i="5"/>
  <c r="N74" i="5" s="1"/>
  <c r="O74" i="5" s="1"/>
  <c r="V73" i="5"/>
  <c r="U73" i="5" s="1"/>
  <c r="M73" i="5"/>
  <c r="N73" i="5" s="1"/>
  <c r="P73" i="5" s="1"/>
  <c r="V72" i="5"/>
  <c r="U72" i="5" s="1"/>
  <c r="M72" i="5"/>
  <c r="N72" i="5" s="1"/>
  <c r="O72" i="5" s="1"/>
  <c r="V71" i="5"/>
  <c r="U71" i="5" s="1"/>
  <c r="M71" i="5"/>
  <c r="N71" i="5" s="1"/>
  <c r="V70" i="5"/>
  <c r="U70" i="5"/>
  <c r="N70" i="5"/>
  <c r="O70" i="5" s="1"/>
  <c r="M70" i="5"/>
  <c r="V69" i="5"/>
  <c r="U69" i="5" s="1"/>
  <c r="M69" i="5"/>
  <c r="N69" i="5" s="1"/>
  <c r="V68" i="5"/>
  <c r="U68" i="5" s="1"/>
  <c r="N68" i="5"/>
  <c r="P68" i="5" s="1"/>
  <c r="M68" i="5"/>
  <c r="V67" i="5"/>
  <c r="U67" i="5"/>
  <c r="M67" i="5"/>
  <c r="N67" i="5" s="1"/>
  <c r="V66" i="5"/>
  <c r="U66" i="5" s="1"/>
  <c r="M66" i="5"/>
  <c r="N66" i="5" s="1"/>
  <c r="V65" i="5"/>
  <c r="U65" i="5" s="1"/>
  <c r="M65" i="5"/>
  <c r="N65" i="5" s="1"/>
  <c r="M64" i="5"/>
  <c r="N64" i="5" s="1"/>
  <c r="N63" i="5"/>
  <c r="M63" i="5"/>
  <c r="X62" i="5"/>
  <c r="Y62" i="5" s="1"/>
  <c r="U62" i="5"/>
  <c r="Y61" i="5"/>
  <c r="X61" i="5"/>
  <c r="U61" i="5"/>
  <c r="O61" i="5"/>
  <c r="M61" i="5"/>
  <c r="N61" i="5" s="1"/>
  <c r="P61" i="5" s="1"/>
  <c r="X60" i="5"/>
  <c r="Y60" i="5" s="1"/>
  <c r="U60" i="5"/>
  <c r="N60" i="5"/>
  <c r="P60" i="5" s="1"/>
  <c r="M60" i="5"/>
  <c r="X59" i="5"/>
  <c r="Y59" i="5" s="1"/>
  <c r="U59" i="5"/>
  <c r="O59" i="5"/>
  <c r="M59" i="5"/>
  <c r="N59" i="5" s="1"/>
  <c r="P59" i="5" s="1"/>
  <c r="X58" i="5"/>
  <c r="Y58" i="5" s="1"/>
  <c r="U58" i="5"/>
  <c r="M58" i="5"/>
  <c r="N58" i="5" s="1"/>
  <c r="Y57" i="5"/>
  <c r="X57" i="5"/>
  <c r="U57" i="5"/>
  <c r="P57" i="5"/>
  <c r="O57" i="5"/>
  <c r="M57" i="5"/>
  <c r="N57" i="5" s="1"/>
  <c r="X56" i="5"/>
  <c r="Y56" i="5" s="1"/>
  <c r="U56" i="5"/>
  <c r="M56" i="5"/>
  <c r="N56" i="5" s="1"/>
  <c r="X55" i="5"/>
  <c r="Y55" i="5" s="1"/>
  <c r="U55" i="5"/>
  <c r="P55" i="5"/>
  <c r="M55" i="5"/>
  <c r="N55" i="5" s="1"/>
  <c r="O55" i="5" s="1"/>
  <c r="X54" i="5"/>
  <c r="Y54" i="5" s="1"/>
  <c r="U54" i="5"/>
  <c r="M54" i="5"/>
  <c r="N54" i="5" s="1"/>
  <c r="P54" i="5" s="1"/>
  <c r="X53" i="5"/>
  <c r="Y53" i="5" s="1"/>
  <c r="U53" i="5"/>
  <c r="N53" i="5"/>
  <c r="P53" i="5" s="1"/>
  <c r="M53" i="5"/>
  <c r="X52" i="5"/>
  <c r="Y52" i="5" s="1"/>
  <c r="U52" i="5"/>
  <c r="N52" i="5"/>
  <c r="M52" i="5"/>
  <c r="X51" i="5"/>
  <c r="Y51" i="5" s="1"/>
  <c r="U51" i="5"/>
  <c r="P51" i="5"/>
  <c r="M51" i="5"/>
  <c r="N51" i="5" s="1"/>
  <c r="O51" i="5" s="1"/>
  <c r="X50" i="5"/>
  <c r="Y50" i="5" s="1"/>
  <c r="U50" i="5"/>
  <c r="M50" i="5"/>
  <c r="N50" i="5" s="1"/>
  <c r="P50" i="5" s="1"/>
  <c r="X49" i="5"/>
  <c r="Y49" i="5" s="1"/>
  <c r="U49" i="5"/>
  <c r="M49" i="5"/>
  <c r="N49" i="5" s="1"/>
  <c r="P49" i="5" s="1"/>
  <c r="X48" i="5"/>
  <c r="Y48" i="5" s="1"/>
  <c r="U48" i="5"/>
  <c r="M48" i="5"/>
  <c r="N48" i="5" s="1"/>
  <c r="X47" i="5"/>
  <c r="Y47" i="5" s="1"/>
  <c r="U47" i="5"/>
  <c r="M47" i="5"/>
  <c r="N47" i="5" s="1"/>
  <c r="O47" i="5" s="1"/>
  <c r="Y46" i="5"/>
  <c r="X46" i="5"/>
  <c r="U46" i="5"/>
  <c r="M46" i="5"/>
  <c r="N46" i="5" s="1"/>
  <c r="P46" i="5" s="1"/>
  <c r="Y45" i="5"/>
  <c r="X45" i="5"/>
  <c r="U45" i="5"/>
  <c r="M45" i="5"/>
  <c r="N45" i="5" s="1"/>
  <c r="P45" i="5" s="1"/>
  <c r="X44" i="5"/>
  <c r="Y44" i="5" s="1"/>
  <c r="U44" i="5"/>
  <c r="N44" i="5"/>
  <c r="P44" i="5" s="1"/>
  <c r="M44" i="5"/>
  <c r="X43" i="5"/>
  <c r="Y43" i="5" s="1"/>
  <c r="U43" i="5"/>
  <c r="M43" i="5"/>
  <c r="N43" i="5" s="1"/>
  <c r="Y42" i="5"/>
  <c r="X42" i="5"/>
  <c r="U42" i="5"/>
  <c r="P42" i="5"/>
  <c r="O42" i="5"/>
  <c r="M42" i="5"/>
  <c r="N42" i="5" s="1"/>
  <c r="X41" i="5"/>
  <c r="Y41" i="5" s="1"/>
  <c r="U41" i="5"/>
  <c r="N41" i="5"/>
  <c r="P41" i="5" s="1"/>
  <c r="M41" i="5"/>
  <c r="X40" i="5"/>
  <c r="Y40" i="5" s="1"/>
  <c r="U40" i="5"/>
  <c r="M40" i="5"/>
  <c r="N40" i="5" s="1"/>
  <c r="X39" i="5"/>
  <c r="Y39" i="5" s="1"/>
  <c r="U39" i="5"/>
  <c r="M39" i="5"/>
  <c r="N39" i="5" s="1"/>
  <c r="Y38" i="5"/>
  <c r="X38" i="5"/>
  <c r="U38" i="5"/>
  <c r="P38" i="5"/>
  <c r="O38" i="5"/>
  <c r="M38" i="5"/>
  <c r="N38" i="5" s="1"/>
  <c r="X37" i="5"/>
  <c r="Y37" i="5" s="1"/>
  <c r="U37" i="5"/>
  <c r="N37" i="5"/>
  <c r="P37" i="5" s="1"/>
  <c r="M37" i="5"/>
  <c r="X36" i="5"/>
  <c r="Y36" i="5" s="1"/>
  <c r="U36" i="5"/>
  <c r="M36" i="5"/>
  <c r="N36" i="5" s="1"/>
  <c r="X35" i="5"/>
  <c r="Y35" i="5" s="1"/>
  <c r="U35" i="5"/>
  <c r="M35" i="5"/>
  <c r="N35" i="5" s="1"/>
  <c r="X34" i="5"/>
  <c r="Y34" i="5" s="1"/>
  <c r="U34" i="5"/>
  <c r="M34" i="5"/>
  <c r="N34" i="5" s="1"/>
  <c r="P34" i="5" s="1"/>
  <c r="X33" i="5"/>
  <c r="Y33" i="5" s="1"/>
  <c r="U33" i="5"/>
  <c r="M33" i="5"/>
  <c r="N33" i="5" s="1"/>
  <c r="P33" i="5" s="1"/>
  <c r="Y32" i="5"/>
  <c r="X32" i="5"/>
  <c r="U32" i="5"/>
  <c r="M32" i="5"/>
  <c r="N32" i="5" s="1"/>
  <c r="X31" i="5"/>
  <c r="Y31" i="5" s="1"/>
  <c r="U31" i="5"/>
  <c r="M31" i="5"/>
  <c r="N31" i="5" s="1"/>
  <c r="X30" i="5"/>
  <c r="Y30" i="5" s="1"/>
  <c r="U30" i="5"/>
  <c r="M30" i="5"/>
  <c r="N30" i="5" s="1"/>
  <c r="O30" i="5" s="1"/>
  <c r="X29" i="5"/>
  <c r="Y29" i="5" s="1"/>
  <c r="U29" i="5"/>
  <c r="M29" i="5"/>
  <c r="N29" i="5" s="1"/>
  <c r="P29" i="5" s="1"/>
  <c r="Y28" i="5"/>
  <c r="X28" i="5"/>
  <c r="U28" i="5"/>
  <c r="N28" i="5"/>
  <c r="P28" i="5" s="1"/>
  <c r="M28" i="5"/>
  <c r="X27" i="5"/>
  <c r="Y27" i="5" s="1"/>
  <c r="U27" i="5"/>
  <c r="M27" i="5"/>
  <c r="N27" i="5" s="1"/>
  <c r="Y26" i="5"/>
  <c r="U26" i="5"/>
  <c r="M26" i="5"/>
  <c r="N26" i="5" s="1"/>
  <c r="P26" i="5" s="1"/>
  <c r="Y25" i="5"/>
  <c r="U25" i="5"/>
  <c r="N25" i="5"/>
  <c r="O25" i="5" s="1"/>
  <c r="M25" i="5"/>
  <c r="X24" i="5"/>
  <c r="Y24" i="5" s="1"/>
  <c r="U24" i="5"/>
  <c r="M24" i="5"/>
  <c r="N24" i="5" s="1"/>
  <c r="P24" i="5" s="1"/>
  <c r="X23" i="5"/>
  <c r="Y23" i="5" s="1"/>
  <c r="U23" i="5"/>
  <c r="M23" i="5"/>
  <c r="N23" i="5" s="1"/>
  <c r="Y22" i="5"/>
  <c r="X22" i="5"/>
  <c r="U22" i="5"/>
  <c r="N22" i="5"/>
  <c r="P22" i="5" s="1"/>
  <c r="M22" i="5"/>
  <c r="X21" i="5"/>
  <c r="Y21" i="5" s="1"/>
  <c r="U21" i="5"/>
  <c r="P21" i="5"/>
  <c r="N21" i="5"/>
  <c r="O21" i="5" s="1"/>
  <c r="M21" i="5"/>
  <c r="X20" i="5"/>
  <c r="Y20" i="5" s="1"/>
  <c r="U20" i="5"/>
  <c r="M20" i="5"/>
  <c r="N20" i="5" s="1"/>
  <c r="P20" i="5" s="1"/>
  <c r="X19" i="5"/>
  <c r="Y19" i="5" s="1"/>
  <c r="U19" i="5"/>
  <c r="N19" i="5"/>
  <c r="P19" i="5" s="1"/>
  <c r="M19" i="5"/>
  <c r="X18" i="5"/>
  <c r="Y18" i="5" s="1"/>
  <c r="U18" i="5"/>
  <c r="N18" i="5"/>
  <c r="P18" i="5" s="1"/>
  <c r="M18" i="5"/>
  <c r="X17" i="5"/>
  <c r="Y17" i="5" s="1"/>
  <c r="U17" i="5"/>
  <c r="M17" i="5"/>
  <c r="N17" i="5" s="1"/>
  <c r="Y16" i="5"/>
  <c r="X16" i="5"/>
  <c r="U16" i="5"/>
  <c r="M16" i="5"/>
  <c r="N16" i="5" s="1"/>
  <c r="P16" i="5" s="1"/>
  <c r="Y15" i="5"/>
  <c r="X15" i="5"/>
  <c r="U15" i="5"/>
  <c r="P15" i="5"/>
  <c r="O15" i="5"/>
  <c r="N15" i="5"/>
  <c r="M15" i="5"/>
  <c r="X14" i="5"/>
  <c r="Y14" i="5" s="1"/>
  <c r="U14" i="5"/>
  <c r="M14" i="5"/>
  <c r="N14" i="5" s="1"/>
  <c r="P14" i="5" s="1"/>
  <c r="X13" i="5"/>
  <c r="Y13" i="5" s="1"/>
  <c r="U13" i="5"/>
  <c r="M13" i="5"/>
  <c r="N13" i="5" s="1"/>
  <c r="Y12" i="5"/>
  <c r="X12" i="5"/>
  <c r="U12" i="5"/>
  <c r="M12" i="5"/>
  <c r="N12" i="5" s="1"/>
  <c r="P12" i="5" s="1"/>
  <c r="Y11" i="5"/>
  <c r="X11" i="5"/>
  <c r="U11" i="5"/>
  <c r="M11" i="5"/>
  <c r="N11" i="5" s="1"/>
  <c r="Y10" i="5"/>
  <c r="X10" i="5"/>
  <c r="U10" i="5"/>
  <c r="M10" i="5"/>
  <c r="N10" i="5" s="1"/>
  <c r="P10" i="5" s="1"/>
  <c r="X9" i="5"/>
  <c r="Y9" i="5" s="1"/>
  <c r="U9" i="5"/>
  <c r="N9" i="5"/>
  <c r="O9" i="5" s="1"/>
  <c r="M9" i="5"/>
  <c r="X8" i="5"/>
  <c r="Y8" i="5" s="1"/>
  <c r="U8" i="5"/>
  <c r="M8" i="5"/>
  <c r="N8" i="5" s="1"/>
  <c r="O8" i="5" s="1"/>
  <c r="X7" i="5"/>
  <c r="Y7" i="5" s="1"/>
  <c r="U7" i="5"/>
  <c r="M7" i="5"/>
  <c r="N7" i="5" s="1"/>
  <c r="O17" i="5" l="1"/>
  <c r="P17" i="5"/>
  <c r="O7" i="5"/>
  <c r="P7" i="5"/>
  <c r="O113" i="5"/>
  <c r="P113" i="5"/>
  <c r="O137" i="5"/>
  <c r="P137" i="5"/>
  <c r="O141" i="5"/>
  <c r="P141" i="5"/>
  <c r="O23" i="5"/>
  <c r="P23" i="5"/>
  <c r="P157" i="5"/>
  <c r="O157" i="5"/>
  <c r="P32" i="5"/>
  <c r="O32" i="5"/>
  <c r="O160" i="5"/>
  <c r="P160" i="5"/>
  <c r="P11" i="5"/>
  <c r="O11" i="5"/>
  <c r="O13" i="5"/>
  <c r="P13" i="5"/>
  <c r="P36" i="5"/>
  <c r="O36" i="5"/>
  <c r="P40" i="5"/>
  <c r="O40" i="5"/>
  <c r="P138" i="5"/>
  <c r="O138" i="5"/>
  <c r="P147" i="5"/>
  <c r="O147" i="5"/>
  <c r="P30" i="5"/>
  <c r="P146" i="5"/>
  <c r="O19" i="5"/>
  <c r="P25" i="5"/>
  <c r="O28" i="5"/>
  <c r="O34" i="5"/>
  <c r="O44" i="5"/>
  <c r="P104" i="5"/>
  <c r="O114" i="5"/>
  <c r="P116" i="5"/>
  <c r="O117" i="5"/>
  <c r="P132" i="5"/>
  <c r="O133" i="5"/>
  <c r="O156" i="5"/>
  <c r="O166" i="5"/>
  <c r="O169" i="5"/>
  <c r="P9" i="5"/>
  <c r="P47" i="5"/>
  <c r="P102" i="5"/>
  <c r="O121" i="5"/>
  <c r="P71" i="5"/>
  <c r="O71" i="5"/>
  <c r="O68" i="5"/>
  <c r="P96" i="5"/>
  <c r="P94" i="5"/>
  <c r="O73" i="5"/>
  <c r="O86" i="5"/>
  <c r="P86" i="5"/>
  <c r="P88" i="5"/>
  <c r="O88" i="5"/>
  <c r="P92" i="5"/>
  <c r="P100" i="5"/>
  <c r="P108" i="5"/>
  <c r="O109" i="5"/>
  <c r="P98" i="5"/>
  <c r="P106" i="5"/>
  <c r="O35" i="5"/>
  <c r="P35" i="5"/>
  <c r="O31" i="5"/>
  <c r="P31" i="5"/>
  <c r="O27" i="5"/>
  <c r="P27" i="5"/>
  <c r="O43" i="5"/>
  <c r="P43" i="5"/>
  <c r="O39" i="5"/>
  <c r="P39" i="5"/>
  <c r="P52" i="5"/>
  <c r="O52" i="5"/>
  <c r="P103" i="5"/>
  <c r="O103" i="5"/>
  <c r="P48" i="5"/>
  <c r="O48" i="5"/>
  <c r="O58" i="5"/>
  <c r="P58" i="5"/>
  <c r="P63" i="5"/>
  <c r="O63" i="5"/>
  <c r="P111" i="5"/>
  <c r="O111" i="5"/>
  <c r="O144" i="5"/>
  <c r="P144" i="5"/>
  <c r="P154" i="5"/>
  <c r="O154" i="5"/>
  <c r="P167" i="5"/>
  <c r="O167" i="5"/>
  <c r="O12" i="5"/>
  <c r="O16" i="5"/>
  <c r="O20" i="5"/>
  <c r="O24" i="5"/>
  <c r="O26" i="5"/>
  <c r="O128" i="5"/>
  <c r="P128" i="5"/>
  <c r="P135" i="5"/>
  <c r="O135" i="5"/>
  <c r="P153" i="5"/>
  <c r="O153" i="5"/>
  <c r="P158" i="5"/>
  <c r="O158" i="5"/>
  <c r="P162" i="5"/>
  <c r="O162" i="5"/>
  <c r="P8" i="5"/>
  <c r="O29" i="5"/>
  <c r="O33" i="5"/>
  <c r="O37" i="5"/>
  <c r="O41" i="5"/>
  <c r="O46" i="5"/>
  <c r="O50" i="5"/>
  <c r="O54" i="5"/>
  <c r="P65" i="5"/>
  <c r="O65" i="5"/>
  <c r="P87" i="5"/>
  <c r="O87" i="5"/>
  <c r="P91" i="5"/>
  <c r="O91" i="5"/>
  <c r="P99" i="5"/>
  <c r="O99" i="5"/>
  <c r="P107" i="5"/>
  <c r="O107" i="5"/>
  <c r="P119" i="5"/>
  <c r="O119" i="5"/>
  <c r="P134" i="5"/>
  <c r="O134" i="5"/>
  <c r="P139" i="5"/>
  <c r="O139" i="5"/>
  <c r="P143" i="5"/>
  <c r="O143" i="5"/>
  <c r="P150" i="5"/>
  <c r="O150" i="5"/>
  <c r="P95" i="5"/>
  <c r="O95" i="5"/>
  <c r="O10" i="5"/>
  <c r="O14" i="5"/>
  <c r="O18" i="5"/>
  <c r="O22" i="5"/>
  <c r="O45" i="5"/>
  <c r="O49" i="5"/>
  <c r="O53" i="5"/>
  <c r="P64" i="5"/>
  <c r="O64" i="5"/>
  <c r="P66" i="5"/>
  <c r="O66" i="5"/>
  <c r="P89" i="5"/>
  <c r="O89" i="5"/>
  <c r="P93" i="5"/>
  <c r="O93" i="5"/>
  <c r="P101" i="5"/>
  <c r="O101" i="5"/>
  <c r="P110" i="5"/>
  <c r="O110" i="5"/>
  <c r="P56" i="5"/>
  <c r="O56" i="5"/>
  <c r="P67" i="5"/>
  <c r="O67" i="5"/>
  <c r="P69" i="5"/>
  <c r="O69" i="5"/>
  <c r="P97" i="5"/>
  <c r="O97" i="5"/>
  <c r="P105" i="5"/>
  <c r="O105" i="5"/>
  <c r="P118" i="5"/>
  <c r="O118" i="5"/>
  <c r="P123" i="5"/>
  <c r="O123" i="5"/>
  <c r="P127" i="5"/>
  <c r="O127" i="5"/>
  <c r="P131" i="5"/>
  <c r="O131" i="5"/>
  <c r="P163" i="5"/>
  <c r="O163" i="5"/>
  <c r="O60" i="5"/>
  <c r="P77" i="5"/>
  <c r="P79" i="5"/>
  <c r="P81" i="5"/>
  <c r="P83" i="5"/>
  <c r="P124" i="5"/>
  <c r="O130" i="5"/>
  <c r="P140" i="5"/>
  <c r="O149" i="5"/>
  <c r="P159" i="5"/>
  <c r="P168" i="5"/>
  <c r="P72" i="5"/>
  <c r="P74" i="5"/>
  <c r="O78" i="5"/>
  <c r="O80" i="5"/>
  <c r="O82" i="5"/>
  <c r="O84" i="5"/>
  <c r="P112" i="5"/>
  <c r="P120" i="5"/>
  <c r="O126" i="5"/>
  <c r="P136" i="5"/>
  <c r="O142" i="5"/>
  <c r="P155" i="5"/>
  <c r="O161" i="5"/>
  <c r="P164" i="5"/>
</calcChain>
</file>

<file path=xl/comments1.xml><?xml version="1.0" encoding="utf-8"?>
<comments xmlns="http://schemas.openxmlformats.org/spreadsheetml/2006/main">
  <authors>
    <author>ADMINISTRATIVO</author>
  </authors>
  <commentList>
    <comment ref="B25" authorId="0" shapeId="0">
      <text>
        <r>
          <rPr>
            <b/>
            <sz val="9"/>
            <color indexed="81"/>
            <rFont val="Segoe UI"/>
            <family val="2"/>
          </rPr>
          <t>ADMINISTRATIVO:</t>
        </r>
        <r>
          <rPr>
            <sz val="9"/>
            <color indexed="81"/>
            <rFont val="Segoe UI"/>
            <family val="2"/>
          </rPr>
          <t xml:space="preserve">
NÃO LEVA BANHO</t>
        </r>
      </text>
    </comment>
    <comment ref="B26" authorId="0" shapeId="0">
      <text>
        <r>
          <rPr>
            <b/>
            <sz val="9"/>
            <color indexed="81"/>
            <rFont val="Segoe UI"/>
            <family val="2"/>
          </rPr>
          <t>ADMINISTRATIVO:</t>
        </r>
        <r>
          <rPr>
            <sz val="9"/>
            <color indexed="81"/>
            <rFont val="Segoe UI"/>
            <family val="2"/>
          </rPr>
          <t xml:space="preserve">
NÃO LEVA BANHO</t>
        </r>
      </text>
    </comment>
    <comment ref="B38" authorId="0" shapeId="0">
      <text>
        <r>
          <rPr>
            <b/>
            <sz val="9"/>
            <color indexed="81"/>
            <rFont val="Segoe UI"/>
            <family val="2"/>
          </rPr>
          <t>ADMINISTRATIVO:</t>
        </r>
        <r>
          <rPr>
            <sz val="9"/>
            <color indexed="81"/>
            <rFont val="Segoe UI"/>
            <family val="2"/>
          </rPr>
          <t xml:space="preserve">
NÃO LEVA BANHO</t>
        </r>
      </text>
    </comment>
    <comment ref="B56" authorId="0" shapeId="0">
      <text>
        <r>
          <rPr>
            <b/>
            <sz val="9"/>
            <color indexed="81"/>
            <rFont val="Segoe UI"/>
            <family val="2"/>
          </rPr>
          <t>ADMINISTRATIVO:</t>
        </r>
        <r>
          <rPr>
            <sz val="9"/>
            <color indexed="81"/>
            <rFont val="Segoe UI"/>
            <family val="2"/>
          </rPr>
          <t xml:space="preserve">
NÃO LEVA BANHO</t>
        </r>
      </text>
    </comment>
    <comment ref="B63" authorId="0" shapeId="0">
      <text>
        <r>
          <rPr>
            <b/>
            <sz val="9"/>
            <color indexed="81"/>
            <rFont val="Segoe UI"/>
            <family val="2"/>
          </rPr>
          <t>ADMINISTRATIVO:</t>
        </r>
        <r>
          <rPr>
            <sz val="9"/>
            <color indexed="81"/>
            <rFont val="Segoe UI"/>
            <family val="2"/>
          </rPr>
          <t xml:space="preserve">
CUSTO JÁ INCLUSO NAS PEÇAS SEPARADAMENTE</t>
        </r>
      </text>
    </comment>
    <comment ref="B64" authorId="0" shapeId="0">
      <text>
        <r>
          <rPr>
            <b/>
            <sz val="9"/>
            <color indexed="81"/>
            <rFont val="Segoe UI"/>
            <family val="2"/>
          </rPr>
          <t>ADMINISTRATIVO:</t>
        </r>
        <r>
          <rPr>
            <sz val="9"/>
            <color indexed="81"/>
            <rFont val="Segoe UI"/>
            <family val="2"/>
          </rPr>
          <t xml:space="preserve">
CUSTO JÁ INCLUSO NAS PEÇAS SEPARADAMENTE</t>
        </r>
      </text>
    </comment>
  </commentList>
</comments>
</file>

<file path=xl/sharedStrings.xml><?xml version="1.0" encoding="utf-8"?>
<sst xmlns="http://schemas.openxmlformats.org/spreadsheetml/2006/main" count="2370" uniqueCount="1213">
  <si>
    <t>DESCRIÇÃO</t>
  </si>
  <si>
    <t>BASE</t>
  </si>
  <si>
    <t>000-0008-030</t>
  </si>
  <si>
    <t>DEFLETORA 1</t>
  </si>
  <si>
    <t>DEFLETORA 2</t>
  </si>
  <si>
    <t>TAMPA MÓVEL DAS ROSETAS</t>
  </si>
  <si>
    <t>TAMPA FIXA DAS ROSETAS</t>
  </si>
  <si>
    <t>000-0007-032</t>
  </si>
  <si>
    <t>000-0007-036</t>
  </si>
  <si>
    <t>LÂMINA 1 SUPERIOR</t>
  </si>
  <si>
    <t>LÂMINA 2 SUPERIOR</t>
  </si>
  <si>
    <t>LÂMINA 3 SUPERIOR</t>
  </si>
  <si>
    <t>MOLA DAS LÂMINAS INFERIORES</t>
  </si>
  <si>
    <t>SUPORTE DO BLOCO</t>
  </si>
  <si>
    <t>PLACA DO ACIONADOR</t>
  </si>
  <si>
    <t>BRAÇO DAS LÂMINAS</t>
  </si>
  <si>
    <t>MANCAL DAS LÂMINAS</t>
  </si>
  <si>
    <t>MOLA DO BRAÇO DAS LÂMINAS</t>
  </si>
  <si>
    <t>CAPA DA GAVETA</t>
  </si>
  <si>
    <t>CARENAGEM</t>
  </si>
  <si>
    <t>FECHAMENTO DA CARENAGEM</t>
  </si>
  <si>
    <t>ENCAIXE DA CARENAGEM</t>
  </si>
  <si>
    <t>GAVETA</t>
  </si>
  <si>
    <t>BASE DO ENCAIXE DA CARENAGEM</t>
  </si>
  <si>
    <t>000-0007-049</t>
  </si>
  <si>
    <t>000-0007-053</t>
  </si>
  <si>
    <t>000-0007-054</t>
  </si>
  <si>
    <t>PROTEÇÃO INFERIOR</t>
  </si>
  <si>
    <t>PROTEÇÃO SUPERIOR</t>
  </si>
  <si>
    <t>PLACA DAS MOLAS DAS LÂMINAS INFERIORES</t>
  </si>
  <si>
    <t>SUPORTE DA PONTEIRA</t>
  </si>
  <si>
    <t>000-0002-021</t>
  </si>
  <si>
    <t>SUPORTE DO BRAÇO DO ACIONADOR PM2100</t>
  </si>
  <si>
    <t>000-0007-044-B</t>
  </si>
  <si>
    <t>000-0007-052-B</t>
  </si>
  <si>
    <t>000-0007-060</t>
  </si>
  <si>
    <t>PRENDEDOR DO CABO</t>
  </si>
  <si>
    <t>000-0007-061</t>
  </si>
  <si>
    <t>REFORÇO DO SUPORTE DO BLOCO</t>
  </si>
  <si>
    <t>BRAÇO DO ACIONADOR PM2100</t>
  </si>
  <si>
    <t>000-0007-048-C</t>
  </si>
  <si>
    <t>000-0007-067</t>
  </si>
  <si>
    <t>000-0007-047-A</t>
  </si>
  <si>
    <t>CONJUNTO LÂMINAS SUPERIORES</t>
  </si>
  <si>
    <t>LÂMINA INFERIOR DA ROSETA 1</t>
  </si>
  <si>
    <t>LÂMINAS INFERIORES DAS ROSETAS 2 E 3</t>
  </si>
  <si>
    <t>CONJUNTO ANEL DAS ROSETAS PM2100</t>
  </si>
  <si>
    <t>000-0007-046-C</t>
  </si>
  <si>
    <t>000-0007-066-A</t>
  </si>
  <si>
    <t>PM2100</t>
  </si>
  <si>
    <t>PM2200</t>
  </si>
  <si>
    <t>ISOLADOR PARALELO</t>
  </si>
  <si>
    <t>ESPAÇADOR ALTO</t>
  </si>
  <si>
    <t>MOLA DA PONTEIRA E AMORTECEDOR</t>
  </si>
  <si>
    <t>TERMOPAR 4 mm</t>
  </si>
  <si>
    <t>ESTRUTURA TRASEIRA</t>
  </si>
  <si>
    <t>PINO DE TRAVA DOS TIPOS</t>
  </si>
  <si>
    <t>BLOCO PM2200</t>
  </si>
  <si>
    <t>ANEL DO LOGOTIPO</t>
  </si>
  <si>
    <t>000-0007-012</t>
  </si>
  <si>
    <t>PONTEIRA</t>
  </si>
  <si>
    <t>000-0002-008</t>
  </si>
  <si>
    <t>EIXO DO BRAÇO DAS LÂMINAS</t>
  </si>
  <si>
    <t>000-0002-009</t>
  </si>
  <si>
    <t>BUCHA SEXTAVADA DAS LÂMINAS</t>
  </si>
  <si>
    <t>000-0007-015</t>
  </si>
  <si>
    <t>PINO AMORTECEDOR</t>
  </si>
  <si>
    <t>000-0002-010</t>
  </si>
  <si>
    <t>BUCHA ESPAÇADORA DAS LÂMINAS</t>
  </si>
  <si>
    <t>000-0007-016</t>
  </si>
  <si>
    <t>DISSIPADOR</t>
  </si>
  <si>
    <t>PINO DE TRAVA DA RESISTÊNCIA</t>
  </si>
  <si>
    <t>TAMPA DA RESISTÊNCIA</t>
  </si>
  <si>
    <t>MAGAZINE</t>
  </si>
  <si>
    <t>MOLA DO MAGAZINE</t>
  </si>
  <si>
    <t>ESPAÇADOR BAIXO</t>
  </si>
  <si>
    <t>ETIQUETA INFERIOR</t>
  </si>
  <si>
    <t>BLOCO PM2100</t>
  </si>
  <si>
    <t>000-0002-018</t>
  </si>
  <si>
    <t>EIXO DAS LÂMINAS INFERIORES</t>
  </si>
  <si>
    <t>ESPAÇADOR DO PORTA FUSÍVEL</t>
  </si>
  <si>
    <t>000-0002-025</t>
  </si>
  <si>
    <t>RESISTÊNCIA PM2200</t>
  </si>
  <si>
    <t>ROSETA 1 (MAIOR)</t>
  </si>
  <si>
    <t>ROSETA 2 (MEIO)</t>
  </si>
  <si>
    <t>ROSETA 3 (MENOR)</t>
  </si>
  <si>
    <t>000-0002-031</t>
  </si>
  <si>
    <t>ETIQUETA SUPERIOR PM2200</t>
  </si>
  <si>
    <t>000-0002-032</t>
  </si>
  <si>
    <t>BRAÇO DO ACIONADOR</t>
  </si>
  <si>
    <t>000-0002-033</t>
  </si>
  <si>
    <t>000-0002-034</t>
  </si>
  <si>
    <t>BUCHA DAS LÂMINAS</t>
  </si>
  <si>
    <t>000-0002-035</t>
  </si>
  <si>
    <t>PINO DAS LÂMINAS</t>
  </si>
  <si>
    <t>PORCA DO BRAÇO ACIONADOR</t>
  </si>
  <si>
    <t>000-0002-037</t>
  </si>
  <si>
    <t>BUCHA ESPAÇADORA DAS LÂMINAS INFERIORES</t>
  </si>
  <si>
    <t>EIXO DO ACIONADOR</t>
  </si>
  <si>
    <t>ETIQUETA SUPERIOR PM2100</t>
  </si>
  <si>
    <t>BUCHA DO ACIONADOR</t>
  </si>
  <si>
    <t>000-0007-062</t>
  </si>
  <si>
    <t>BUCHA DO BRAÇO ACIONADOR</t>
  </si>
  <si>
    <t>A2</t>
  </si>
  <si>
    <t>000-0002-007-B</t>
  </si>
  <si>
    <t>000-0002-012-C</t>
  </si>
  <si>
    <t>000-0002-013-B</t>
  </si>
  <si>
    <t>000-0002-014-B</t>
  </si>
  <si>
    <t>000-0002-015-B</t>
  </si>
  <si>
    <t>000-0002-016-A</t>
  </si>
  <si>
    <t>000-0002-017-B</t>
  </si>
  <si>
    <t>000-0002-019-A</t>
  </si>
  <si>
    <t>000-0002-023-C</t>
  </si>
  <si>
    <t>000-0002-024-B</t>
  </si>
  <si>
    <t>000-0001-034-A</t>
  </si>
  <si>
    <t>000-0002-003-C</t>
  </si>
  <si>
    <t>000-0002-005-C</t>
  </si>
  <si>
    <t>000-0002-026-B</t>
  </si>
  <si>
    <t>000-0002-027-B</t>
  </si>
  <si>
    <t>000-0002-028-B</t>
  </si>
  <si>
    <t>000-0007-037-A</t>
  </si>
  <si>
    <t>000-0007-056-A</t>
  </si>
  <si>
    <t>RESISTÊNCIA PM2100</t>
  </si>
  <si>
    <t>E-021</t>
  </si>
  <si>
    <t>E-022</t>
  </si>
  <si>
    <t>BOTÃO ON-OFF</t>
  </si>
  <si>
    <t>E-023</t>
  </si>
  <si>
    <t>CONTROLADOR DE TEMPERATURA</t>
  </si>
  <si>
    <t>E-024</t>
  </si>
  <si>
    <t>E-025</t>
  </si>
  <si>
    <t>RELÉ DE ESTADO SÓLIDO</t>
  </si>
  <si>
    <t>E-026</t>
  </si>
  <si>
    <t>E-028</t>
  </si>
  <si>
    <t>E-029</t>
  </si>
  <si>
    <t>F-021</t>
  </si>
  <si>
    <t>F-023</t>
  </si>
  <si>
    <t>F-024</t>
  </si>
  <si>
    <t>ARRUELA LISA M4 DIN 125 A</t>
  </si>
  <si>
    <t>F-025</t>
  </si>
  <si>
    <t>F-026</t>
  </si>
  <si>
    <t>F-028</t>
  </si>
  <si>
    <t>F-029</t>
  </si>
  <si>
    <t>ARRUELA LISA M5 DIN 125 A</t>
  </si>
  <si>
    <t>F-030</t>
  </si>
  <si>
    <t>F-031</t>
  </si>
  <si>
    <t>PARAFUSO ALLEN C/C M4x12 DIN 912</t>
  </si>
  <si>
    <t>F-032</t>
  </si>
  <si>
    <t>PORCA SEXTAVADA M5 DIN 934</t>
  </si>
  <si>
    <t>F-033</t>
  </si>
  <si>
    <t>F-034</t>
  </si>
  <si>
    <t>PORCA SEXTAVADA M3 DIN 934</t>
  </si>
  <si>
    <t>PARAFUSO ALLEN C/C M5x8 DIN 912</t>
  </si>
  <si>
    <t>F-036</t>
  </si>
  <si>
    <t>PARAFUSO ALLEN C/ABAULADA M8x16 ISO 7380</t>
  </si>
  <si>
    <t>F-037</t>
  </si>
  <si>
    <t>REBITE POP 4x12 ALUMÍNIO</t>
  </si>
  <si>
    <t>F-039</t>
  </si>
  <si>
    <t>F-040</t>
  </si>
  <si>
    <t>F-046</t>
  </si>
  <si>
    <t>F-047</t>
  </si>
  <si>
    <t>PARAFUSO ALLEN C/C M4x45 DIN 912</t>
  </si>
  <si>
    <t>PARAF. C PANELA PHILLIPS M5 x 10</t>
  </si>
  <si>
    <t>M-020</t>
  </si>
  <si>
    <t>CABO ALÇA DE BAQUELITE</t>
  </si>
  <si>
    <t>M-021</t>
  </si>
  <si>
    <t>PEZINHO 3/8"</t>
  </si>
  <si>
    <t>M-031</t>
  </si>
  <si>
    <t>PINO ELÁSTICO 1,5x6 mm</t>
  </si>
  <si>
    <t>FITA DUPLA FACE 25mm x 50 mm</t>
  </si>
  <si>
    <t>A-001</t>
  </si>
  <si>
    <t>A-002</t>
  </si>
  <si>
    <t>LUVA</t>
  </si>
  <si>
    <t>A-003</t>
  </si>
  <si>
    <t>ÓCULOS</t>
  </si>
  <si>
    <t>A-004</t>
  </si>
  <si>
    <t>ESCOVA</t>
  </si>
  <si>
    <t>A-005</t>
  </si>
  <si>
    <t>BORNE 2,5 mm2 P/ LIGAR O TERMOPAR (1 PAR)</t>
  </si>
  <si>
    <t>E-031</t>
  </si>
  <si>
    <t>PORTA FUSÍVEL</t>
  </si>
  <si>
    <t>TOMADA (VEM COM O CHICOTE)</t>
  </si>
  <si>
    <t>CABO DE FORÇA</t>
  </si>
  <si>
    <t>FUSÍVEL AUTOMOTIVO 10 AMPÉRES</t>
  </si>
  <si>
    <t>PARAF. ALLEN SC M4x16</t>
  </si>
  <si>
    <t>F-022</t>
  </si>
  <si>
    <t>PORCA SEXTAVADA M4</t>
  </si>
  <si>
    <t>PARAF. ALLEN CC M5x16</t>
  </si>
  <si>
    <t>PARAF. ALLEN CC M5x12</t>
  </si>
  <si>
    <t>PARF. ALLEN C ABAULADA M5x8</t>
  </si>
  <si>
    <t>PARAF. ALLEN CC M3x16</t>
  </si>
  <si>
    <t>F-035</t>
  </si>
  <si>
    <t>PARAFUSO ALLEN C/ABAULADA M5x12</t>
  </si>
  <si>
    <t>F-041</t>
  </si>
  <si>
    <t>PARAFUSO ALLEN C/C M4x35 DIN 912</t>
  </si>
  <si>
    <t>PARAFUSO ALLEN C/C M5x20</t>
  </si>
  <si>
    <t>SEM CÓDIGO</t>
  </si>
  <si>
    <t>CHAVE DE MUDANÇA DOS NÚMEROS</t>
  </si>
  <si>
    <t>F-068</t>
  </si>
  <si>
    <t>CONJUNTO DAS LÂMINAS SUPERIORES</t>
  </si>
  <si>
    <t>000-0015-015-B</t>
  </si>
  <si>
    <t>E-030</t>
  </si>
  <si>
    <t>F-019</t>
  </si>
  <si>
    <t>000-0007-050-A</t>
  </si>
  <si>
    <t>PARAF. ALLEN C ABAULADA M4 x 8</t>
  </si>
  <si>
    <t>POSTE DA ROSETA PM2100</t>
  </si>
  <si>
    <t>000-0007-071</t>
  </si>
  <si>
    <t xml:space="preserve">PROTEÇÃO DE SILICONE </t>
  </si>
  <si>
    <t>MOLA DOS PINOS DOS TIPOS PM2200</t>
  </si>
  <si>
    <t>POSTE DA ROSETA PM2200</t>
  </si>
  <si>
    <t>FORNECEDOR</t>
  </si>
  <si>
    <t>VIZZANO</t>
  </si>
  <si>
    <t>MARIVALDO/ PNEUMARK/ SIPRA</t>
  </si>
  <si>
    <t>MBFOR</t>
  </si>
  <si>
    <t>PM700</t>
  </si>
  <si>
    <t>BLOCO PM700</t>
  </si>
  <si>
    <t>VENDA MÉDIA MENSAL</t>
  </si>
  <si>
    <t>PRAZOS (DIAS) RESSUPRIMENTO</t>
  </si>
  <si>
    <t>LOTE MÍNIMO</t>
  </si>
  <si>
    <t>PONTO DE PEDIDO</t>
  </si>
  <si>
    <t>ESTOQUE MÍNIMO</t>
  </si>
  <si>
    <t>ESTOQUE MÁXIMO</t>
  </si>
  <si>
    <t>ESTOQUE ATUAL</t>
  </si>
  <si>
    <t>IFELASER</t>
  </si>
  <si>
    <t>FUSEELETRIC</t>
  </si>
  <si>
    <t>EDGAR MOLAS</t>
  </si>
  <si>
    <t>FCA</t>
  </si>
  <si>
    <t>RESISTÊNCIA PM700</t>
  </si>
  <si>
    <t>CASA FERREIRA</t>
  </si>
  <si>
    <t>OR TECNOCABOS</t>
  </si>
  <si>
    <t>METALTEX</t>
  </si>
  <si>
    <t>CHICOTE PM700</t>
  </si>
  <si>
    <t>IMPORTADO</t>
  </si>
  <si>
    <t>PERMAQ</t>
  </si>
  <si>
    <t>INSERÇÃO</t>
  </si>
  <si>
    <t>AUTOPEÇAS</t>
  </si>
  <si>
    <t>CISER</t>
  </si>
  <si>
    <t>FIXROL</t>
  </si>
  <si>
    <t>AMP</t>
  </si>
  <si>
    <t>RB BORRACHAS</t>
  </si>
  <si>
    <t>MERCADO LIVRE</t>
  </si>
  <si>
    <t>GRÁFICA</t>
  </si>
  <si>
    <t>PALACIO DAS FERRAMENTAS</t>
  </si>
  <si>
    <t>CHICOTE ELÉTRICO PM2100/2200</t>
  </si>
  <si>
    <t>LOTE MÍNIMO IDEAL</t>
  </si>
  <si>
    <t>PARAF. ALLEN S/C M4x8</t>
  </si>
  <si>
    <t>ANEL ELASTICO 3.2 MM</t>
  </si>
  <si>
    <t>MOLA DOS PINOS DOS TIPOS PM700</t>
  </si>
  <si>
    <t>MANUAL 2100 E 2200</t>
  </si>
  <si>
    <t>MANUAL 700</t>
  </si>
  <si>
    <t>CONJUNTO ANEL DA ROSETA PM2200</t>
  </si>
  <si>
    <t>PINO DE TRAVA DOS TIPOS    19.0</t>
  </si>
  <si>
    <t>PINO DE TRAVA DOS TIPOS    18.0</t>
  </si>
  <si>
    <t>PINO DE TRAVA DOS TIPOS    20.4</t>
  </si>
  <si>
    <t>PINO DE TRAVA DOS TIPOS    21.7</t>
  </si>
  <si>
    <t>PINO DE TRAVA DOS TIPOS    22.7</t>
  </si>
  <si>
    <t>PINO DE TRAVA DOS TIPOS    23.0</t>
  </si>
  <si>
    <t>PARAF. ALLEN CC M3x6</t>
  </si>
  <si>
    <t>PARAFUSO ALLEN S/C M5x25 DIN 916 POSTE</t>
  </si>
  <si>
    <t>REBITE POP 3 /13ALUMÍNIO</t>
  </si>
  <si>
    <t>CONTROLE ANUAL DE ACURACIDADE DO ESTOQUE DE COMPONENTES DA MONTAGEM / 2024</t>
  </si>
  <si>
    <t>JANEIRO</t>
  </si>
  <si>
    <t>FEVEREIRO</t>
  </si>
  <si>
    <t>MARÇO</t>
  </si>
  <si>
    <t>JUNHO</t>
  </si>
  <si>
    <t>JULHO</t>
  </si>
  <si>
    <t>AGOSTO</t>
  </si>
  <si>
    <t>SETEMBRO</t>
  </si>
  <si>
    <t>OUTUBRO</t>
  </si>
  <si>
    <t>NOVEMBRO</t>
  </si>
  <si>
    <t>DEZEMBRO</t>
  </si>
  <si>
    <t>PRODUTO</t>
  </si>
  <si>
    <t>CÓDIGO</t>
  </si>
  <si>
    <t>ACURACIDADE</t>
  </si>
  <si>
    <t xml:space="preserve">ESPAÇADOR DA MOLA                                                                                                   </t>
  </si>
  <si>
    <t xml:space="preserve">SISTEMA </t>
  </si>
  <si>
    <t>FISICO</t>
  </si>
  <si>
    <t>BORNE (BARRA DE "SINDAL" 2,5 mm2)</t>
  </si>
  <si>
    <t>BUCHA DO BRAÇO DO ACIONADOR</t>
  </si>
  <si>
    <t>PINO DAS LÂMINAS PM2200</t>
  </si>
  <si>
    <t>BLOCO</t>
  </si>
  <si>
    <t>PROTEÇÃO DE SILICONE</t>
  </si>
  <si>
    <t>TOMADA (TOMADA COM FIOS DE LIGAÇÃO)</t>
  </si>
  <si>
    <t>CABO DE FORÇA (C. DE F. 3 m, PLUGUE M. 3 PINOS 10A,  PLUGUE F.TIPO PC)</t>
  </si>
  <si>
    <t>ETIQUETA SUPERIOR</t>
  </si>
  <si>
    <t>ANEL DA ROSETA</t>
  </si>
  <si>
    <t>000-0002-004-B</t>
  </si>
  <si>
    <t>PORCA DO BRAÇO E ACIONADOR</t>
  </si>
  <si>
    <r>
      <t>ESPAÇADOR METÁLICO</t>
    </r>
    <r>
      <rPr>
        <sz val="8"/>
        <rFont val="Arial"/>
        <family val="2"/>
      </rPr>
      <t xml:space="preserve">                                                                                                      </t>
    </r>
  </si>
  <si>
    <t>TERMOPAR (TUBO MINERAL TIPO K, INOX 310 - 4,0x120mm + RABICHO)</t>
  </si>
  <si>
    <t>15-032</t>
  </si>
  <si>
    <t>PINO 18.0 DE TRAVA DOS TIPOS</t>
  </si>
  <si>
    <t>000-0007-011-180</t>
  </si>
  <si>
    <t>PINO 23.0 DE TRAVA DOS TIPOS</t>
  </si>
  <si>
    <t>000-0007-011-230</t>
  </si>
  <si>
    <t>BUCHA DAS LÂMINAS PM2200</t>
  </si>
  <si>
    <t>000-0002-011-B</t>
  </si>
  <si>
    <t>PINO 21.7 DE TRAVA DOS TIPOS</t>
  </si>
  <si>
    <t>000-0007-011-217</t>
  </si>
  <si>
    <t>BRAÇO ACIONADOR PM2200</t>
  </si>
  <si>
    <t>POSTE DA ROSETA</t>
  </si>
  <si>
    <t>MOLA DOS PINOS DOS TIPOS</t>
  </si>
  <si>
    <t>ESPAÇADOR M3 DO PORTA FUSÍVEL/SINDAL</t>
  </si>
  <si>
    <t>MOLA (MOLA DA GARRINHA + AMORTCEDOR)</t>
  </si>
  <si>
    <t>15-027</t>
  </si>
  <si>
    <t>CHICOTE ELÉTRICO</t>
  </si>
  <si>
    <t>RESISTÊNCIA</t>
  </si>
  <si>
    <t>SUPORTE DO BRAÇO ACIONADOR PM2200</t>
  </si>
  <si>
    <t>FUSÍVEL 10A (FUSÍVEL TIPO AUTOMOTIVO 10 AMPÉRES - VERMELHO)</t>
  </si>
  <si>
    <t>PORTA FUSÍVEL (MODIFICADO COM FIO DE 1 mm)</t>
  </si>
  <si>
    <t>MAIO</t>
  </si>
  <si>
    <t>QTD PCS</t>
  </si>
  <si>
    <t>PÉ DA PM700</t>
  </si>
  <si>
    <t>ETIQUETA DO TERRA</t>
  </si>
  <si>
    <t>PORCA SEXTAVA M8 MALETA</t>
  </si>
  <si>
    <t xml:space="preserve">PORCA SEXTAVADA M4 RETEÇÃO </t>
  </si>
  <si>
    <t>ABRIL</t>
  </si>
  <si>
    <t xml:space="preserve">PINO DAS LÂMINAS </t>
  </si>
  <si>
    <t>7-037</t>
  </si>
  <si>
    <t>F-038</t>
  </si>
  <si>
    <t>UNIDADE</t>
  </si>
  <si>
    <t>TOTAL</t>
  </si>
  <si>
    <t>2-007-B</t>
  </si>
  <si>
    <t>2-011-C</t>
  </si>
  <si>
    <t>2-012-C</t>
  </si>
  <si>
    <t>2-013-B</t>
  </si>
  <si>
    <t>2-014-B</t>
  </si>
  <si>
    <t>2-015-B</t>
  </si>
  <si>
    <t>2-016-A</t>
  </si>
  <si>
    <t>2-017-B</t>
  </si>
  <si>
    <t>2-019-A</t>
  </si>
  <si>
    <t>2-023-C</t>
  </si>
  <si>
    <t>2-024-B</t>
  </si>
  <si>
    <t>2-029-B</t>
  </si>
  <si>
    <t>2-030-A</t>
  </si>
  <si>
    <t>2-032</t>
  </si>
  <si>
    <t>2-033</t>
  </si>
  <si>
    <t>2-037</t>
  </si>
  <si>
    <t>7-006-B</t>
  </si>
  <si>
    <t>7-007-C</t>
  </si>
  <si>
    <t>7-013-B</t>
  </si>
  <si>
    <t>7-014-B</t>
  </si>
  <si>
    <t>7-017-A</t>
  </si>
  <si>
    <t>7-021</t>
  </si>
  <si>
    <t>7-025-A</t>
  </si>
  <si>
    <t>7-027-B</t>
  </si>
  <si>
    <t>7-028-A</t>
  </si>
  <si>
    <t>7-029-A</t>
  </si>
  <si>
    <t>7-030-A</t>
  </si>
  <si>
    <t>7-036</t>
  </si>
  <si>
    <t>7-042-B</t>
  </si>
  <si>
    <t>7-044-B</t>
  </si>
  <si>
    <t>7-045-A</t>
  </si>
  <si>
    <t>7-046-C</t>
  </si>
  <si>
    <t>7-047-A</t>
  </si>
  <si>
    <t>7-048-C</t>
  </si>
  <si>
    <t>7-049</t>
  </si>
  <si>
    <t>7-052-B</t>
  </si>
  <si>
    <t>7-053</t>
  </si>
  <si>
    <t>7-054</t>
  </si>
  <si>
    <t>7-060</t>
  </si>
  <si>
    <t>7-061</t>
  </si>
  <si>
    <t>7-063</t>
  </si>
  <si>
    <t>7-066-A</t>
  </si>
  <si>
    <t>7-069</t>
  </si>
  <si>
    <t>7-070</t>
  </si>
  <si>
    <t>8-010-B</t>
  </si>
  <si>
    <t>15-015-B</t>
  </si>
  <si>
    <t>20-019-A</t>
  </si>
  <si>
    <t>28-001-B</t>
  </si>
  <si>
    <t>28-004-B</t>
  </si>
  <si>
    <t>28-006-A</t>
  </si>
  <si>
    <t>28-008-B</t>
  </si>
  <si>
    <t xml:space="preserve">28-009-A </t>
  </si>
  <si>
    <t>28-010-A</t>
  </si>
  <si>
    <t>28-013</t>
  </si>
  <si>
    <t>28-014-A</t>
  </si>
  <si>
    <t>2-038</t>
  </si>
  <si>
    <t>2-036-A</t>
  </si>
  <si>
    <t>7-068-A</t>
  </si>
  <si>
    <t>1-034-A</t>
  </si>
  <si>
    <t>2-003-C</t>
  </si>
  <si>
    <t>2-005-C</t>
  </si>
  <si>
    <t>2-008</t>
  </si>
  <si>
    <t>2-009</t>
  </si>
  <si>
    <t>2-010</t>
  </si>
  <si>
    <t>2-018</t>
  </si>
  <si>
    <t>2-026-B</t>
  </si>
  <si>
    <t>2-027-B</t>
  </si>
  <si>
    <t>2-034</t>
  </si>
  <si>
    <t>2-035</t>
  </si>
  <si>
    <t>7-001-B</t>
  </si>
  <si>
    <t>7-011-18</t>
  </si>
  <si>
    <t>7-011-19</t>
  </si>
  <si>
    <t>7-011-20.4</t>
  </si>
  <si>
    <t>7-011-21.7</t>
  </si>
  <si>
    <t>7-011-22.7</t>
  </si>
  <si>
    <t>7-011-23.0</t>
  </si>
  <si>
    <t>7-012</t>
  </si>
  <si>
    <t>7-015</t>
  </si>
  <si>
    <t>7-016</t>
  </si>
  <si>
    <t>7-019-C</t>
  </si>
  <si>
    <t>7-022</t>
  </si>
  <si>
    <t>7-023</t>
  </si>
  <si>
    <t>7-024</t>
  </si>
  <si>
    <t>7-033-B</t>
  </si>
  <si>
    <t>28-011</t>
  </si>
  <si>
    <t>28-007</t>
  </si>
  <si>
    <t>28-005</t>
  </si>
  <si>
    <t>28-002-A</t>
  </si>
  <si>
    <t>8-030</t>
  </si>
  <si>
    <t>7-067</t>
  </si>
  <si>
    <t>7-065</t>
  </si>
  <si>
    <t>7-064</t>
  </si>
  <si>
    <t>7-062</t>
  </si>
  <si>
    <t>7-056-A</t>
  </si>
  <si>
    <t>7-043-A</t>
  </si>
  <si>
    <t>7-040-A</t>
  </si>
  <si>
    <t>7-039</t>
  </si>
  <si>
    <t>7-037-A</t>
  </si>
  <si>
    <t>7-035-B</t>
  </si>
  <si>
    <t>7-034-B</t>
  </si>
  <si>
    <t>1-014</t>
  </si>
  <si>
    <t>28-015</t>
  </si>
  <si>
    <t>2-021</t>
  </si>
  <si>
    <t>2-025</t>
  </si>
  <si>
    <t>2-031</t>
  </si>
  <si>
    <t>7-032</t>
  </si>
  <si>
    <t>7-050-A</t>
  </si>
  <si>
    <t>7-051</t>
  </si>
  <si>
    <t>28-003</t>
  </si>
  <si>
    <t>7-041</t>
  </si>
  <si>
    <t>7-071</t>
  </si>
  <si>
    <t>2-028</t>
  </si>
  <si>
    <t>BANHO</t>
  </si>
  <si>
    <t>ADICIONAL</t>
  </si>
  <si>
    <t xml:space="preserve">UNID-ATUAL </t>
  </si>
  <si>
    <t>TOTAL-ATUAL</t>
  </si>
  <si>
    <t>RELE</t>
  </si>
  <si>
    <t>CONTROLADOR</t>
  </si>
  <si>
    <t>F-000</t>
  </si>
  <si>
    <t>DEFLETORA 2 PM2200</t>
  </si>
  <si>
    <t>DEFLETORA 1 PM2200</t>
  </si>
  <si>
    <t>BASE DO ENCAIXE CARENAGEM</t>
  </si>
  <si>
    <t>ENCAIXE DE CARENAGEM</t>
  </si>
  <si>
    <t xml:space="preserve">BRAÇO DO ACIONADOR </t>
  </si>
  <si>
    <t>BRAÇO PM2200</t>
  </si>
  <si>
    <t>PLACA DA MOLA DAS LAMINAS</t>
  </si>
  <si>
    <t>PLACA DAS MOLAS DAS LAMINAS 2100</t>
  </si>
  <si>
    <t>MANCAL DAS LAMINAS</t>
  </si>
  <si>
    <t>MANCAL DAS LAMINAS PM2100</t>
  </si>
  <si>
    <t>LAMINA 2 SUP 2200</t>
  </si>
  <si>
    <t>BRAÇO DAS LAMINAS</t>
  </si>
  <si>
    <t>LAMINA INFERIOR 2 E 3 2100</t>
  </si>
  <si>
    <t>BRAÇO DAS LAMINAS 2200</t>
  </si>
  <si>
    <t>MANCAL DAS LAMINAS 2100</t>
  </si>
  <si>
    <t>DEFLETORA 1 PM2100</t>
  </si>
  <si>
    <t>LAMINA INF 2100</t>
  </si>
  <si>
    <t xml:space="preserve">FECHAMENTO DA CARENAGEM </t>
  </si>
  <si>
    <t>LAMINA INFERIOR 2 E 3 2200</t>
  </si>
  <si>
    <t>LAMINA SUPERIOR 3 2200</t>
  </si>
  <si>
    <t>LAMINA SUPERIOR 1 PM2200</t>
  </si>
  <si>
    <t>LAMINA SUP 1 PM2100</t>
  </si>
  <si>
    <t>LAMINA SUP 2 PM2100</t>
  </si>
  <si>
    <t>LAMINA SUP 3 PM2100</t>
  </si>
  <si>
    <t>SUP DO BLOCO</t>
  </si>
  <si>
    <t>TAMPA MOVEL PM2200</t>
  </si>
  <si>
    <t>TAMPA MOVEL 2100</t>
  </si>
  <si>
    <t>SUP DO BLRAÇO DO ACIONADOR 2100</t>
  </si>
  <si>
    <t>PLACA DO CIONADOR</t>
  </si>
  <si>
    <t>SUP DO BLRAÇO DO ACIONADOR 2200</t>
  </si>
  <si>
    <t>SUP BRAÇO ACIONADOR 2100</t>
  </si>
  <si>
    <t>SUP DA PONTEIRA</t>
  </si>
  <si>
    <t>CABO DE FORÇA PM700</t>
  </si>
  <si>
    <t>CONSUMO MÉDIO (MÊS)</t>
  </si>
  <si>
    <t>MODELO</t>
  </si>
  <si>
    <t>Máquinas possíveis</t>
  </si>
  <si>
    <t>Peça Limitante</t>
  </si>
  <si>
    <t>Código da Peça</t>
  </si>
  <si>
    <t>STATUS COMPRAS</t>
  </si>
  <si>
    <t>ULTIMO PEDIDO</t>
  </si>
  <si>
    <t>Fornecedor</t>
  </si>
  <si>
    <t>Melhor Produção</t>
  </si>
  <si>
    <t>LÂMINA INFERIOR DA ROSETA 1 2200</t>
  </si>
  <si>
    <t>BRAÇO DAS LÂMINAS 2100</t>
  </si>
  <si>
    <t>CONJUNTO ANEL DAS ROSETAS 2100</t>
  </si>
  <si>
    <t>TAMPA DA RESISTENCIA PM700</t>
  </si>
  <si>
    <t>CONJUNTO ANEL DAS ROSETAS PM2200</t>
  </si>
  <si>
    <t>EIXO D0 BRAÇO DAS LÂMINAS PM2200</t>
  </si>
  <si>
    <t>BUCHA SEXTAVADA DAS LÂMINAS PM2200</t>
  </si>
  <si>
    <t>BUCHA ESPAÇADORA DAS LÂMINAS PM2200</t>
  </si>
  <si>
    <t>EIXO DAS LÂMINAS INFERIORES 2200</t>
  </si>
  <si>
    <t>ROSETA 3 (MENOR) 2200</t>
  </si>
  <si>
    <t>PONTEIRA 1900 2100 2200</t>
  </si>
  <si>
    <t>BUCHA DAS LÂMINAS PM2100</t>
  </si>
  <si>
    <t>PINO DAS LÂMINAS PM2100</t>
  </si>
  <si>
    <t>ESPAÇADOR DA MOLA</t>
  </si>
  <si>
    <t>PINOS DE TRAVAS DOS TIPOS PM700</t>
  </si>
  <si>
    <t>ANEL DO LOGOTIPO PM700</t>
  </si>
  <si>
    <t>PINO DE TRAVA DA RESISTENCIA PM700</t>
  </si>
  <si>
    <t>ISOLADOR PARALELO 14 X 14 M4</t>
  </si>
  <si>
    <t>RESISTÊNCIA 2200</t>
  </si>
  <si>
    <t>ETIQUETA SUPERIOR 2200</t>
  </si>
  <si>
    <t>ETIQUETA SUPERIOR 2100</t>
  </si>
  <si>
    <t>MOLA DA GARRINHA + AMORTECEDOR</t>
  </si>
  <si>
    <t>RESISTENCIA PM700</t>
  </si>
  <si>
    <t>RESISTÊNCIA 2100</t>
  </si>
  <si>
    <t>BORNE SINDAL</t>
  </si>
  <si>
    <t>CABO DE FORÇA PM700\1100\1200</t>
  </si>
  <si>
    <t>CONTROLADOR DE TEMPERATURA MODELO REX-C100 PM2100\2200</t>
  </si>
  <si>
    <t>PARAFUSO ALLEN S/C M4x16 DIN 916</t>
  </si>
  <si>
    <t>PORCA SEXTAVADA M4 DIN 934</t>
  </si>
  <si>
    <t>PARAFUSO ALLEN C/C M5x16 DIN 912</t>
  </si>
  <si>
    <t>PARAFUSO ALLEN C/C M5x12 DIN 912</t>
  </si>
  <si>
    <t>ARRUELA DE RETENÇÃO 5 DIN 6799</t>
  </si>
  <si>
    <t>PARAFUSO ALLEN C/ABAULADA M5x8 ISO 7380</t>
  </si>
  <si>
    <t>PARAFUSO ALLEN C/C M3x16 DIN 912</t>
  </si>
  <si>
    <t>PORCA DO BRAÇO ACIONADOR 2100 2200</t>
  </si>
  <si>
    <t>PARAFUSO ALLEN S/C M5x25 DIN 916</t>
  </si>
  <si>
    <t>PARAFUSO ALLEN C/ABAULADA M5x12 ISO 7380</t>
  </si>
  <si>
    <t>ARRUELA DE RETENÇÃO 3.2 DIN 6799</t>
  </si>
  <si>
    <t>MANUAL</t>
  </si>
  <si>
    <t>CHAVE</t>
  </si>
  <si>
    <t>Código Produto</t>
  </si>
  <si>
    <t>Código Integração</t>
  </si>
  <si>
    <t>RESISTÊNCIA ROSETA PM1200</t>
  </si>
  <si>
    <t>RESISTÊNCIA ROSETA PM1100</t>
  </si>
  <si>
    <t>RESISTÊNCIA BLOCO</t>
  </si>
  <si>
    <t>CHAVE COMBINADA SPEEDY CATRACA12MM BELZER</t>
  </si>
  <si>
    <t>TAMPA DAS ROSETAS 3 PM1100</t>
  </si>
  <si>
    <t>MALETA</t>
  </si>
  <si>
    <t>MARCADOR PARA PNEUS PM25</t>
  </si>
  <si>
    <t>SUPORTE DO RELE PM25</t>
  </si>
  <si>
    <t>BLOCO PM 1200</t>
  </si>
  <si>
    <t>FITA ACO CARBONO SAE 1070 TEMP BRC - 1.00x120.00</t>
  </si>
  <si>
    <t>MARCADOR DE PNEUS (CONSERTO)</t>
  </si>
  <si>
    <t>LOGOTIPO</t>
  </si>
  <si>
    <t>RESISTENCIA  PM900</t>
  </si>
  <si>
    <t>CARACTERE P/ MARCADOR DE PNEU MOD PM1010</t>
  </si>
  <si>
    <t>ALÇA DE BAQUELITE</t>
  </si>
  <si>
    <t>LOGOTIPO PM700</t>
  </si>
  <si>
    <t>RELE DE ESTADO SÓLIDO</t>
  </si>
  <si>
    <t>MARCADOR PARA PNEUS PM 1200</t>
  </si>
  <si>
    <t>MARCADOR P/ PNEUS - RLETRICO</t>
  </si>
  <si>
    <t>MARCADOR PNEU PM1100</t>
  </si>
  <si>
    <t>ENGATE ZINCADO AZUL</t>
  </si>
  <si>
    <t>FECHO ZINCADO AZUL</t>
  </si>
  <si>
    <t>TERMOPAR TIPO K</t>
  </si>
  <si>
    <t>Marcador para pneus PM1100</t>
  </si>
  <si>
    <t>MARCADOR P/ PNEU PM1200 220V</t>
  </si>
  <si>
    <t>INATIVO1</t>
  </si>
  <si>
    <t>MARCADOR NUMERADOR DE PNEUS ELETRICO PM 1200</t>
  </si>
  <si>
    <t>MARCADOR DE PNEU ELETRICO / PM1100</t>
  </si>
  <si>
    <t>MARCADOR E NUMERADOR P/ PNEU</t>
  </si>
  <si>
    <t>FITA AÇO CARBONO SAE 1070 TEM AZ 1,00 X 120,00</t>
  </si>
  <si>
    <t>AÇO 1045 QUADRADO DE 2 POLEGADAS POR 92 MM</t>
  </si>
  <si>
    <t>MARCADOR PARA PNEUS PM2100</t>
  </si>
  <si>
    <t>DEFLETORA 1 1900 2100</t>
  </si>
  <si>
    <t>DEFLETORA 2 1900 2100</t>
  </si>
  <si>
    <t>ANEL DA ROSETA 2100</t>
  </si>
  <si>
    <t>ESPAÇADOR</t>
  </si>
  <si>
    <t>MARCADOR PARA PNEUS PM2200</t>
  </si>
  <si>
    <t>RESISTÊNCIA 1900</t>
  </si>
  <si>
    <t>PROTEÇÃO INFERIOR 1900 2100</t>
  </si>
  <si>
    <t>POSTE DA ROSETA 2100</t>
  </si>
  <si>
    <t>PROTEÇÃO SUPERIOR 2100</t>
  </si>
  <si>
    <t>BLOCO 2100</t>
  </si>
  <si>
    <t>BASE 1900 2100 2200</t>
  </si>
  <si>
    <t>CARENAGEM 1900 2100 2200</t>
  </si>
  <si>
    <t>TAMPA MÓVEL DAS ROSETAS 2200</t>
  </si>
  <si>
    <t>PROTEÇÃO INFERIOR 2200</t>
  </si>
  <si>
    <t>PROTEÇÃO SUPERIOR 2200</t>
  </si>
  <si>
    <t>PLACA DAS MOLAS DAS LÂMINAS INFERIORES 2200</t>
  </si>
  <si>
    <t>LÂMINAS INFERIORES DAS ROSETAS 2 E 3 2200</t>
  </si>
  <si>
    <t>LÂMINA 3 SUPERIOR 2200</t>
  </si>
  <si>
    <t>BRAÇO DAS LÂMINAS PM2200</t>
  </si>
  <si>
    <t>ANEL DA ROSETA PM2200</t>
  </si>
  <si>
    <t>CALÇO DO LOGOTIPO 1900 2100 2200</t>
  </si>
  <si>
    <t>TAMPA FIXA DAS ROSETAS 2200</t>
  </si>
  <si>
    <t>ROSETA 2 (MEIO) 2200</t>
  </si>
  <si>
    <t>ROSETA 1 (MAIOR) 2200</t>
  </si>
  <si>
    <t>MOLA DOS PINOS DOS TIPOS PM1200 E PM2200</t>
  </si>
  <si>
    <t>MANCAL DAS LÂMINAS  2200</t>
  </si>
  <si>
    <t>LÂMINA 2 SUPERIOR 2200</t>
  </si>
  <si>
    <t>LÂMINA 1 SUPERIOR 2200</t>
  </si>
  <si>
    <t>DEFLETORA 2 2200</t>
  </si>
  <si>
    <t>DEFLETORA 1 2200</t>
  </si>
  <si>
    <t>ESCOVA DE ACO C/3 PCS- IDEA</t>
  </si>
  <si>
    <t>ALLEN ABA LIGA MA 4 X 8</t>
  </si>
  <si>
    <t>ALLEN C/C LIGA MA 4 X 12</t>
  </si>
  <si>
    <t>PORCA ZB MA M5</t>
  </si>
  <si>
    <t>PF SEXT SOBERBA 1/4 X 55</t>
  </si>
  <si>
    <t>ALLEN C/C LIGA MA 5 X 30</t>
  </si>
  <si>
    <t>aco trefilado 28,75 11SMn30 sext.</t>
  </si>
  <si>
    <t>MARCADOR DE PNEU</t>
  </si>
  <si>
    <t>LEITOR D155 NAC GPRS</t>
  </si>
  <si>
    <t>Cod.: Maleta - Modelo: 000-0010-007-A - Aco Carbono 1,20-SAE-1006</t>
  </si>
  <si>
    <t>TERMOPARES</t>
  </si>
  <si>
    <t>PINO GUIA DIN 6325 6,0 X 24,0</t>
  </si>
  <si>
    <t>PARAFUSO ALLEN C/C M3x6 DIN 912</t>
  </si>
  <si>
    <t>PARAFUSO ALLEN S/C M4x10 DIN 916</t>
  </si>
  <si>
    <t>1020 RED TREF 50 MM C/ 2000 MM</t>
  </si>
  <si>
    <t>ALLEN ABA LIGA MA 5 X 8</t>
  </si>
  <si>
    <t>ALLEN C/C LIGA MA 5 X 12</t>
  </si>
  <si>
    <t>CHAVE CANHAO 1/4</t>
  </si>
  <si>
    <t>CHAVE ALLEN LONGA 2,5MM 1A LINHA</t>
  </si>
  <si>
    <t>aco trefilado 19,05 11SMn30 red.</t>
  </si>
  <si>
    <t>MARCADOR PARA PNEU</t>
  </si>
  <si>
    <t>Cod.: Maleta - Modelo: 000-0010-004-A - Aco Carbono 1,20-SAE-1006</t>
  </si>
  <si>
    <t>RESISTÊNCIA MICROTUBULAR ESPIRAL</t>
  </si>
  <si>
    <t>ALLEN C/C LIGA MA 4 X 20</t>
  </si>
  <si>
    <t>Cod.: PM2100 - Modelo: 000-0007-052-B - Aco Carbono 1,50-SAE-1006</t>
  </si>
  <si>
    <t>Cod.: PM2100 - Modelo: 000-0007-053 - Aco Carbono 1,20-SAE-1006</t>
  </si>
  <si>
    <t>Cod.: PM2100 - Modelo: 000-0007-049 - Aco Carbono 1,20-SAE-1006</t>
  </si>
  <si>
    <t>Cod.: PM2100 - Modelo: 000-0007-047-A - Aco Carbono 2,65-SAE-1006</t>
  </si>
  <si>
    <t>Cod.: PM2100 - Modelo: 000-0007-042-B - Aco Carbono 3,00-SAE-1006</t>
  </si>
  <si>
    <t>Cod.: PM2100 - Modelo: 000-0007-036 - Aco Carbono 1,90-SAE-1006</t>
  </si>
  <si>
    <t>Cod.: PM2100 - Modelo: 000-0007-029-A - Aco Carbono 1,20-SAE-1006</t>
  </si>
  <si>
    <t>Cod.: PM2100 - Modelo: 000-0007-028-A - Aco Carbono 1,20-SAE-1006</t>
  </si>
  <si>
    <t>Cod.: PM2100 - Modelo: 000-0007-027-B - Aco Carbono 1,20-SAE-1006</t>
  </si>
  <si>
    <t>Cod.: PM2100 - Modelo: 000-0007-025-A - Aco Carbono 1,50-SAE-1006</t>
  </si>
  <si>
    <t>Cod.: PM2100 - Modelo: 000-0007-021 - Aco Carbono 2,65-SAE-1006</t>
  </si>
  <si>
    <t>Cod.: PM2100 - Modelo: 000-0007-017-A - Aco Carbono 1,50-SAE-1006</t>
  </si>
  <si>
    <t>Cod.: VALTOIR-03 - Modelo3: - Aco Carbono 3,00-SAE-1006</t>
  </si>
  <si>
    <t>Cod.: VALTOIR-02 - Modelo2: - Aco Carbono 3,20-SAE-1006</t>
  </si>
  <si>
    <t>Cod.: VALTOIR-01 - Modelo1: - Aco Carbono 1,90-SAE-1006</t>
  </si>
  <si>
    <t>BASTAO COLA 11 MM</t>
  </si>
  <si>
    <t>COLA TRAVA ROSCA 50G RF1305 THREE BOND</t>
  </si>
  <si>
    <t>CHAVE ALLEN LONGA 4,0MM 1A LINHA</t>
  </si>
  <si>
    <t>CHAVE ALLEN LONGA 3,0MM 1A LINHA</t>
  </si>
  <si>
    <t>BROCA DIN 338 AR 2,50 1A LINHA</t>
  </si>
  <si>
    <t>MACHO MAQ 250/3 M5 OSG</t>
  </si>
  <si>
    <t>MACHO MAQ 250/3 M4 OSG</t>
  </si>
  <si>
    <t>JG MACHO AR M3 X 0,5 DORMER/OSG</t>
  </si>
  <si>
    <t>CJ SERRA COPO P/MADEIRA 64-127MM C/8 PCS</t>
  </si>
  <si>
    <t>Cod.: PM2100 - Modelo: 000-0007-045-A - Aco Carbono 1,00-SAE-1006</t>
  </si>
  <si>
    <t>Cod.: PM2100 - Modelo: 000-0007-044-B - Aco Carbono 2,65-SAE-1006</t>
  </si>
  <si>
    <t>Cod.: PM2100 - Modelo: 000-0007-061 - Aco Carbono 1,50-SAE-1006</t>
  </si>
  <si>
    <t>Cod.: PM2100 - Modelo: 000-0007-066 - A - Aco Carbono 3,00-SAE-1006</t>
  </si>
  <si>
    <t>Cod.: PM2100 - Modelo: 000-0007-069 - Aco Carbono 1,20-SAE-1006</t>
  </si>
  <si>
    <t>CALIBRADOR</t>
  </si>
  <si>
    <t>Cod.: PM2200 - Modelo: 000-0002-007-B - Aco Carbono 2,65-SAE-1006</t>
  </si>
  <si>
    <t>Cod.: PM2200 - Modelo: 000-0002-013-B - Aco Carbono 1,20-SAE-1006</t>
  </si>
  <si>
    <t>Cod.: PM2200 - Modelo: 000-0002-014-B - Aco Carbono 1,20-SAE-1006</t>
  </si>
  <si>
    <t>Cod.: PM2200 - Modelo: 000-0002-015-B - Aco Carbono 1,20-SAE-1006</t>
  </si>
  <si>
    <t>Cod.: PM2200 - Modelo: 000-0002-017-B - Aco Carbono 1,50-SAE-1006</t>
  </si>
  <si>
    <t>Cod.: PM2200 - Modelo: 000-0002-019-A - Aco Carbono 1,00-SAE-1006</t>
  </si>
  <si>
    <t>Cod.: PM2200 - Modelo: 000-0002-029-B - Aco Carbono 1,50-SAE-1006</t>
  </si>
  <si>
    <t>Cod.: PM2200 - Modelo: 000-0002-033 - Aco Carbono 3,00-SAE-1006</t>
  </si>
  <si>
    <t>Cod.: PM2200 - Modelo: 000-0002-037 - Aco Carbono 1,20-SAE-1006</t>
  </si>
  <si>
    <t>ALLEN C/C LIGA MA 3 X 16</t>
  </si>
  <si>
    <t>BUCHA NYLON</t>
  </si>
  <si>
    <t>Tubo mineral tipo K, inox 310 - 3,0x130mm + rabicho</t>
  </si>
  <si>
    <t>SERRA P/MAQUINA RS 1710-6 LENOX</t>
  </si>
  <si>
    <t>Resistência diâm. 24x78 do bloco PM1100 e PM1200</t>
  </si>
  <si>
    <t>CAIXA PAPELÃO M 35X29X30</t>
  </si>
  <si>
    <t>CAIXA PAPELÃO PEQUENA 18 X 8 X 10</t>
  </si>
  <si>
    <t>BROCA DIN 338 AR 3,40 1A LINHA</t>
  </si>
  <si>
    <t>FLAP DISK 4 1/2 GR40</t>
  </si>
  <si>
    <t>Cod.: 000-0013-014 - Modelo: TAMPA DA RESISTENCIA - Aco Carbono 1,20-SAE-1006</t>
  </si>
  <si>
    <t>Cod.: 000-0013-013 - Modelo: DEFLETORA 2 - Aco Carbono 1,90-SAE-1006</t>
  </si>
  <si>
    <t>Cod.: 000-0013-012 - Modelo: FECHAMENTO INFERIOR - Aco Carbono 1,90-SAE-1006</t>
  </si>
  <si>
    <t>CHAVE FIXA 6,0 X 7,0</t>
  </si>
  <si>
    <t>LIMA CHATA</t>
  </si>
  <si>
    <t>LUVA KALIPSO NBR WAVE T.08-M</t>
  </si>
  <si>
    <t>Ferro fundido Nodular 88</t>
  </si>
  <si>
    <t>CANTONEIRA P</t>
  </si>
  <si>
    <t>Ferro fundido Nodular 104</t>
  </si>
  <si>
    <t>ALLEN C/C LIGA MA 5X 16</t>
  </si>
  <si>
    <t>Cilindro Pistão Pneumático Iso Dupla Ação 32 X 250 Mm |</t>
  </si>
  <si>
    <t>BROCA DIN 338 AR 3,20 1A LINHA</t>
  </si>
  <si>
    <t>Articulação Traseira Fêmea + Macho Para Cilindro</t>
  </si>
  <si>
    <t>CHAVE COMBINADA REVESIVEL CATRACA 9MM WILLIANS</t>
  </si>
  <si>
    <t>Válvula Direcional Pneumática 5/2 Vias Rosca 1/4 Botão Trava</t>
  </si>
  <si>
    <t>CHAVE COMBINADA CATRACA 7MM BELZER</t>
  </si>
  <si>
    <t>Batentes 3/8 batedores de porta (Batoque ou pezinhos) 500 pcs</t>
  </si>
  <si>
    <t>BLOCO PM 25</t>
  </si>
  <si>
    <t>BLANK WELGER PM 25</t>
  </si>
  <si>
    <t>SOQUETE POSTE REDONDO</t>
  </si>
  <si>
    <t>CABO NYLON</t>
  </si>
  <si>
    <t>CAIXA PRÉ MONTADA 31X11X10,5</t>
  </si>
  <si>
    <t>PLÁSTICO BOLHA</t>
  </si>
  <si>
    <t>MARCADOR NUMERADOR PNEU</t>
  </si>
  <si>
    <t>Cod.: 000-0013-010 - Modelo: ESTRUTURAL 1 - Aco Carbono 1,90-SAE-1006</t>
  </si>
  <si>
    <t>Cod.: 000-0013-008 - Modelo: DEFLETORA 1 - Aco Carbono 1,90-SAE-1006</t>
  </si>
  <si>
    <t>ABAFADOR DE RUIDO SAFETY SPA3</t>
  </si>
  <si>
    <t>LIMA 1/2 CANA MURCA 6 STARRET</t>
  </si>
  <si>
    <t>CABO PVC P /LIMA N2</t>
  </si>
  <si>
    <t>CANTONEIRA G</t>
  </si>
  <si>
    <t>BROCA DIN 338 AR1,50 1A LINHA</t>
  </si>
  <si>
    <t>CHAVE COMBINADA CATRACA 8MM GEDORE</t>
  </si>
  <si>
    <t>PARAFUSO C. PANELA PHILLIPS M5x10</t>
  </si>
  <si>
    <t>REBITE  3 X 12</t>
  </si>
  <si>
    <t>PINO 19.0 DE TRAVA DOS TIPOS</t>
  </si>
  <si>
    <t>MAGAZINE PM700</t>
  </si>
  <si>
    <t>PEZINHO PM700</t>
  </si>
  <si>
    <t>CANETA MARCADOR PERM. PONTA GROSSA AZUL</t>
  </si>
  <si>
    <t>DEFLETORA 2 PM700</t>
  </si>
  <si>
    <t>MARCADOR PARA CONSERTO</t>
  </si>
  <si>
    <t>DEFLETORA 1 PM700</t>
  </si>
  <si>
    <t>PROTEÇAO SUPERIOR PM700</t>
  </si>
  <si>
    <t>ESTRUTURA TRASEIRA PM700</t>
  </si>
  <si>
    <t>Cod: 000-0007-048-D / Modelo: CARENAGEM / Chapa - Aco Carbono 1,20 [19]</t>
  </si>
  <si>
    <t>Cod: 000-0007-052 -C / Modelo: FECHAMENTO DA CARENAGEM / Chapa - Aco Carbono 1,50 [28]</t>
  </si>
  <si>
    <t>CAIXINHA PM700</t>
  </si>
  <si>
    <t>MARCADOR ELETRICO DE PNEU</t>
  </si>
  <si>
    <t>KIT35x50x1000MM - KIT PONTEIRAS P/ ESTEIRA PORTA CABOS 35x50x1000MM R75</t>
  </si>
  <si>
    <t>GNQSQH3550-1SS/P - ESTEIRA PORTA CABOS 35x50x1000MM R75 S/PONTEIRAS</t>
  </si>
  <si>
    <t>PRENSA CABO</t>
  </si>
  <si>
    <t>Abracadeira Tipo Mola (Spring Clamp) em Aco 6mm - Prata</t>
  </si>
  <si>
    <t>RED TREF 2.1\2 C\ 55mm</t>
  </si>
  <si>
    <t>CARACTERE 20 mm PM2200</t>
  </si>
  <si>
    <t>CHAVE COMBINADA CATRACA 6MM BELZER</t>
  </si>
  <si>
    <t>MARCADOR PARA PNEUS PM700</t>
  </si>
  <si>
    <t>PINO 22.7 DE TRAVA DOS TIPOS</t>
  </si>
  <si>
    <t>PINO 20.4 DE TRAVA DOS TIPOS</t>
  </si>
  <si>
    <t>PINO 22.3 DE TRAVA DOS TIPOS</t>
  </si>
  <si>
    <t>MARCADOR ELETRICO P/PNEUS 220V/1100W PNEU MARK PM2100</t>
  </si>
  <si>
    <t>Cod: 000-0007-049-A / Modelo: GAVETA / Chapa - Aco Carbono 1,50 [28]</t>
  </si>
  <si>
    <t>PANO PRATO ESTAMPADO 45X75 UN</t>
  </si>
  <si>
    <t>LIXEIRA 40L COM TAMPA PRETO JSN UND</t>
  </si>
  <si>
    <t>ALICATE CORTE DIAGONAL 6 GEDORE</t>
  </si>
  <si>
    <t>ELETRODO 6013 2,50</t>
  </si>
  <si>
    <t>BROCA CENTRO 2,50 X 6,30</t>
  </si>
  <si>
    <t>aco trefildo 25,4 11SMn30 sext</t>
  </si>
  <si>
    <t>TINTA SPRAY PRETO BRILHANTE</t>
  </si>
  <si>
    <t>OLEO DE CORTE P/TODOS OS METAIS 500ML USILUB</t>
  </si>
  <si>
    <t>RS-201-1C-R 220V - CHAVE 2 POSIÇÕES ILUMINADA C/ CAPA- VM 220V Base ST: R$ 8.029,21  Valor ST: R$ 374,31</t>
  </si>
  <si>
    <t>JG CHAVE FENDA/PHILLIPS MASTER MORETZSOHN C/5 PCS</t>
  </si>
  <si>
    <t>ALICATE BICO 1/2 CANA 6 1/2 R28502165 GEDORE</t>
  </si>
  <si>
    <t>RESISTENCIA PM25</t>
  </si>
  <si>
    <t>blank para caracter 1/2 x1</t>
  </si>
  <si>
    <t>ROSETA</t>
  </si>
  <si>
    <t>Panettone B. 400g - Sub</t>
  </si>
  <si>
    <t>Cookies Original 100g - Sub</t>
  </si>
  <si>
    <t>aco tref.15,87 11SMn30 sext.</t>
  </si>
  <si>
    <t>PLACA VALVULA CHIAPERINI 6 MPI/CJ7.4 NOVO/TOP10MPV/TOP15MP3V/10SS/TOP15APV LADO AP/ FIAC2.6/15/20AP 3 CIL/AB10 / DEWALT</t>
  </si>
  <si>
    <t>PARAFUSO</t>
  </si>
  <si>
    <t>INVERSOR DE FREQUENCIA SINOVO SD90; 2.2KW (3CV); MONOFASICO 220VAC; 0-600HZ</t>
  </si>
  <si>
    <t>SACO PARA LIXO BRANCO DE PIA/BANHEIRO 10L EIMON c/</t>
  </si>
  <si>
    <t>AROMATIZADOR DE AMBIENTE VARETA BAMBU c/240 ML</t>
  </si>
  <si>
    <t>LUVA LATEX  GRANDE INOVEN c/100 UND</t>
  </si>
  <si>
    <t>SACO PARA LIXO PRETO 60L COMUM c/100 UN</t>
  </si>
  <si>
    <t>MASSA PLASTICA CINZA 500G MAXI RUBBER</t>
  </si>
  <si>
    <t>PF PAN PH RM 5,0 X 8,0</t>
  </si>
  <si>
    <t>ALLEN C/X LIGA MA 5 X 20</t>
  </si>
  <si>
    <t>TRENA PROFISSIONAL 10MX25MM - CORNETA</t>
  </si>
  <si>
    <t>DISCO DE CORTE P/ PORCELANATO-SQ-3941-SQ</t>
  </si>
  <si>
    <t>CHAVE PHILLIPS 1/4 X 6 GEDORE</t>
  </si>
  <si>
    <t>ABRACADEIRA T50R PT PCTE C/ 200PCS</t>
  </si>
  <si>
    <t>blank para caracter 3/8 x 5/8</t>
  </si>
  <si>
    <t>Emb. Cesta Bauducco G - 2023</t>
  </si>
  <si>
    <t>Chocottone B. 400g - Sub</t>
  </si>
  <si>
    <t>PROTETOR AUDITIVO 3M/POMP SILIC.LJA</t>
  </si>
  <si>
    <t>RESISTENCIA ROSETA PNEUMARK PM0005</t>
  </si>
  <si>
    <t>LAMINA P/ESTIL.18MM X 0.60    C/10</t>
  </si>
  <si>
    <t>ESTILETE  STANLEY.GRANDE 18MM 10323</t>
  </si>
  <si>
    <t>PAPEL  REPORT PREM.A4 75G/M2 C/500F</t>
  </si>
  <si>
    <t>925 MM - FUSO DE ESFERAS 16X05 - LAMINADO</t>
  </si>
  <si>
    <t>Chapa de Aço Carbono F.F. -1,00x120x2000-SAE-1070</t>
  </si>
  <si>
    <t>12L14 SXT 25,40 TREF NO:0002069/2 Seu Pedido: Via WhatsApp</t>
  </si>
  <si>
    <t>Bolinho Duplo Chocolate B. 40g - Sub</t>
  </si>
  <si>
    <t>Bolinho Duo Chocolate 27g - Sub</t>
  </si>
  <si>
    <t>Roll Chocolate 34g - Sub</t>
  </si>
  <si>
    <t>Torrada Tradicional 142g - Sub</t>
  </si>
  <si>
    <t>Recheadinho Goiaba 112g - Sub</t>
  </si>
  <si>
    <t>Pao de Mel Especial 240g - Sub</t>
  </si>
  <si>
    <t>Wafer Maxi Chocolate 104g - Sub</t>
  </si>
  <si>
    <t>Wafer Morango 140g - Sub</t>
  </si>
  <si>
    <t>Wafer Chocolate 140g - Sub</t>
  </si>
  <si>
    <t>Biscoito Tipo Maizena 170g - Sub</t>
  </si>
  <si>
    <t>Bis.Champanhe Aç.Cristal150g - Sub</t>
  </si>
  <si>
    <t>Recheado Baunilha B. 108g - Sub</t>
  </si>
  <si>
    <t>Recheado Chocolate B. 108g - Sub</t>
  </si>
  <si>
    <t>Cookies Chocolate 100g - Sub</t>
  </si>
  <si>
    <t>Cookies Maxi B.96g - Sub</t>
  </si>
  <si>
    <t>12L14 SXT 15,87 TREF NO:0002069/1 Seu Pedido: Via WhatsApp</t>
  </si>
  <si>
    <t>Bolinho Laranja B. 40g - Sub</t>
  </si>
  <si>
    <t>RESISTENCIA BLOCO PNEUMARK PM0003</t>
  </si>
  <si>
    <t>GEL BRANCO 2,5KG PINHEIRO</t>
  </si>
  <si>
    <t>LIVREIRO MULTIUSO 4 PRATELEIRAS CASTANHO MALASIA BELA CASA</t>
  </si>
  <si>
    <t>COMBO MASCARA DE SOLDA - CONTROL SOLAR + 2 LENTES + 1 BATERIA + 2 ESQUADROS 12KG</t>
  </si>
  <si>
    <t>Tubo Azul PPR Diametro:25mm</t>
  </si>
  <si>
    <t>Luva Azul PPR Ar Comprimido DN:25mm</t>
  </si>
  <si>
    <t>Joelho 90 Azul PPR Ar Comprimido Diametro:25mm</t>
  </si>
  <si>
    <t>Te Azul PPR  Ar Comprimido Diametro:25mm</t>
  </si>
  <si>
    <t>Luva Mista Azul PPR Ar Comprimido Diametro:25 x</t>
  </si>
  <si>
    <t>Suporte com Trava Azul PPR Ar Comprimido Diametro:25mm</t>
  </si>
  <si>
    <t>Niple Duplo Latao BSP Tamanho:1/2x1/4</t>
  </si>
  <si>
    <t>CAP Azul PPR Ar Comprimido Diametro:25mm</t>
  </si>
  <si>
    <t>aco 12L14 sext.15,87</t>
  </si>
  <si>
    <t>aco 12L14 sext.25,40</t>
  </si>
  <si>
    <t>GLASSPEC  P.E.T.G CRISTAL  3.00 X 1.000 X 2.000 MM  - S/ UV - IMP. .</t>
  </si>
  <si>
    <t>Curva de 180 Azul PPR Ar Comprimido Diametro:25mm</t>
  </si>
  <si>
    <t>Joelho 45 Azul PPR Ar Comprimido Diametro:25mm</t>
  </si>
  <si>
    <t>Adaptador Azul PPR Ar Comprimido Diametro:25 x</t>
  </si>
  <si>
    <t>Uniao com Flange Padrao Azul PPR Ar Comprimido Diametro:25mm</t>
  </si>
  <si>
    <t>MARCADOR DE PNEUS PNEUMARK COM</t>
  </si>
  <si>
    <t>Equipamento de ensaio HG148B tensão suportável, continuidade de aterramento e testefuncional</t>
  </si>
  <si>
    <t>CANTONEIRAS 30X30X30 - SEM PARAFUSOS E PORCAS</t>
  </si>
  <si>
    <t>PORCA T M6 RASGO DE 8MM</t>
  </si>
  <si>
    <t>INATIVO3</t>
  </si>
  <si>
    <t>VHB 4910 RL 19MMX20M FLOW PACK VHB 4910 RL 19MMX20M FLOW PACK</t>
  </si>
  <si>
    <t>MC010 - Acabamento Tampa Traseira Fiat Strada</t>
  </si>
  <si>
    <t>CHAVE ALLEN LONGA 3,0MM GEDORE</t>
  </si>
  <si>
    <t>PORCA CONICA ALIVIADOR DE TENSAO PRETO - FAMILIA 2 (PG9 - M16)</t>
  </si>
  <si>
    <t>MACARICO PROF.C/ IGNICAO 6009-WESTE</t>
  </si>
  <si>
    <t>CABO DE BATERIA 600A- CAMINHAO- EDA</t>
  </si>
  <si>
    <t>KIT REPAROS P/ PNEUS NA MALETA C/13PCS- HM</t>
  </si>
  <si>
    <t>ARRUELA LISA ZINC 1 4 (UN)</t>
  </si>
  <si>
    <t>MARCADOR NUMERICO PNEUS 220V</t>
  </si>
  <si>
    <t>PAINEL DE COMANDO 60X50X20</t>
  </si>
  <si>
    <t>CARACTER CJ P/MARC PNEU;PNEUMARK/PM0072</t>
  </si>
  <si>
    <t>Esmerilhadeira Angular 4.1/2 850 Watts M9510b Makita 220V</t>
  </si>
  <si>
    <t>Escada Domestica 3 Degraus Aluminio Alumasa</t>
  </si>
  <si>
    <t>PARAFUSADEIRA PPF03 - 051105018</t>
  </si>
  <si>
    <t>CINTA LIXA MADEIRA 915 x 100 GR320 KA169 DEERFOS</t>
  </si>
  <si>
    <t>MARCADOR DE PNEUS PNEUMARK PM2100 COM LOGO DA EMPRESA</t>
  </si>
  <si>
    <t>SILICONE ACETICO INCOLOR 50G</t>
  </si>
  <si>
    <t>ARR LISA DIN 7349 M6 X 17 X 6,4 X 3,0</t>
  </si>
  <si>
    <t>Estante de aco 6 prateleiras 2,00x0,92x0,30</t>
  </si>
  <si>
    <t>ABRACADEIRA NYLON INSULOK T50R 203X4.9 PT HELL</t>
  </si>
  <si>
    <t>TERMOFUSOR 800W  220V</t>
  </si>
  <si>
    <t>CHICOTE ELETRICO NOVA VERSAO 2021</t>
  </si>
  <si>
    <t>MC010CD - Moldura Cacamba Canto Direito Fiat Strada</t>
  </si>
  <si>
    <t>MC010CE - Moldura Cacamba Canto Esquerdo Fiat Strada</t>
  </si>
  <si>
    <t>BOTA DE SEGURANCA BICO PVC MARLUVAS PREMIER 75BPR29-BP</t>
  </si>
  <si>
    <t>PERFIL  40 X 40 X 1870 MM (C/ROSCA M12 X 50 NAS PONTAS)</t>
  </si>
  <si>
    <t>TAMPA PLASTICA 40 X 40</t>
  </si>
  <si>
    <t>ELETRODUTO PRE ZINCADO (LEVE) 3 4</t>
  </si>
  <si>
    <t>PORCA SEXTAVADA FERRO 1 4 (UN)</t>
  </si>
  <si>
    <t>FITA ISOLANTE SCOTCH 3M 33+ 19X20MMT PRETA</t>
  </si>
  <si>
    <t>PARAFUSO CABECA LENTILHA FENDA 1 4X1 2</t>
  </si>
  <si>
    <t>CHUMBADOR C  PARAFUSO 1 4X2  G2 (ROSCAXPARAFUSO)</t>
  </si>
  <si>
    <t>CONTROLE DE VENTILADOR C  CAPA 127V</t>
  </si>
  <si>
    <t>MODULO TOMADA 2P+T 20A BRANCO CLEAN</t>
  </si>
  <si>
    <t>PLACA 4X2 2 POSTOS BRANCA CLEAN</t>
  </si>
  <si>
    <t>PLACA 4X4 4 POSTOS SEPARADOS BRANCA CLEAN</t>
  </si>
  <si>
    <t>SUPORTE 4X2 CLEAN</t>
  </si>
  <si>
    <t>SUPORTE 4X4 CLEAN   SLEEK</t>
  </si>
  <si>
    <t>MODULO TOMADA 2P+T 20A VERMELHA CLEAN</t>
  </si>
  <si>
    <t>TOMADA SOBREPOR 32A 3P+N+T 380V-440V VERMELHO IP44</t>
  </si>
  <si>
    <t>PLUGUE SOBREPOR 32A 3P+N+T 380V-440V VERMELHO IP44</t>
  </si>
  <si>
    <t>GANCHO CURTO PARA PERFILADO #16</t>
  </si>
  <si>
    <t>PROTÓTIPOS</t>
  </si>
  <si>
    <t>Dissipador Trocador de Calor em Aluminio I-50-Safiratec</t>
  </si>
  <si>
    <t>TELA DE SERIGRAFIA</t>
  </si>
  <si>
    <t>Sensor Temperatura Termopar Tipo K 1m Rosca M6 Forno Estufa-Safiratec</t>
  </si>
  <si>
    <t>Dissipador Trocador de Calor em Aluminio com Ventilacao I-50-HIGH</t>
  </si>
  <si>
    <t>Rele de Estado Solido Safiratec DC-AC 40A SSR-1 D4840</t>
  </si>
  <si>
    <t>INATIVO5</t>
  </si>
  <si>
    <t>CX PAP OND 530x370x255 OC: I.F.T.</t>
  </si>
  <si>
    <t>Guia Padrao PMSP 15X30X100</t>
  </si>
  <si>
    <t>CARACTERE 13 mm PM2100 / PM1900</t>
  </si>
  <si>
    <t>SERVIÇOS DE USINAGEM</t>
  </si>
  <si>
    <t>PAINEL LED EMBUTIR QUADRADO 24W 6500K BIV BRANCO 29,5CM</t>
  </si>
  <si>
    <t>KIT CHAPARIA PM700</t>
  </si>
  <si>
    <t>KIT CHAPARIA PM2100</t>
  </si>
  <si>
    <t>KIT CHAPARIA PM2200</t>
  </si>
  <si>
    <t>KIT CHAPARIA MALETA</t>
  </si>
  <si>
    <t>CABO FLEX 6,00MM 750V VERDE 100M</t>
  </si>
  <si>
    <t>CABO FLEX 6,00MM 750V VERMELHO 100M</t>
  </si>
  <si>
    <t>CABO FLEX 6,00MM 750V PRETO 100M</t>
  </si>
  <si>
    <t>PERFILADO PERFURADO 38X38 CH24 3MT</t>
  </si>
  <si>
    <t>JUNCAO INTERNA L</t>
  </si>
  <si>
    <t>JUNCAO INTERNA I</t>
  </si>
  <si>
    <t>Chapa de Aço Carbono F.F. -1,00x2000x120-SAE-1070</t>
  </si>
  <si>
    <t>INATIVO2</t>
  </si>
  <si>
    <t>Kit Gabinete e Pia em PVC P/ Banheiro Gabfit Preto Astra</t>
  </si>
  <si>
    <t>Black para carácter 1x,1/2</t>
  </si>
  <si>
    <t>PORCA ZB MA M8</t>
  </si>
  <si>
    <t>ALLEN C/C LIGA MA 5 X 8</t>
  </si>
  <si>
    <t>TABULEIRO PAP OND 290X150 OC: I.F.T.</t>
  </si>
  <si>
    <t>CX PAP OND 265X170X206 c/ acessorio OC: I.F.T.</t>
  </si>
  <si>
    <t>CX PAP OND 310X111X102 OC: I.F.T.</t>
  </si>
  <si>
    <t>CX PAP OND 350x280x285 c/ acessorio OC: I.F.T.</t>
  </si>
  <si>
    <t>Wafer Maxi Choco &amp; Cream 104g- Sub</t>
  </si>
  <si>
    <t>Código Fornecedor</t>
  </si>
  <si>
    <t>Descrição Produto</t>
  </si>
  <si>
    <t>JSL SA</t>
  </si>
  <si>
    <t>SANTA VITORIA ACUCAR E ALCOOL LTDA</t>
  </si>
  <si>
    <t>METAFER COMERCIO DE FERRO E ACO LTDA</t>
  </si>
  <si>
    <t>FIX-ROL FERRAMENTAS LTDA.</t>
  </si>
  <si>
    <t>F. C. A. PINHEIRO</t>
  </si>
  <si>
    <t>CARIMA COMERCIAL DE SUPRIMENTOS PARA INDUSTRIA E COMERCIO LT</t>
  </si>
  <si>
    <t>MB-FOR INDUSTRIA, COMERCIO E FERRAMENTARIA LTDA</t>
  </si>
  <si>
    <t>B. Chata. ASTM A36 2" X 2" 92mm</t>
  </si>
  <si>
    <t>MAGIFER INDUSTRIA DE METAIS LTDA</t>
  </si>
  <si>
    <t>'O. R. TECHNOCABOS INDUSTRIA E COMERCIO LTDA</t>
  </si>
  <si>
    <t>HELEGIL ELETRO CONTROLES LTDA</t>
  </si>
  <si>
    <t>FUSELETRIC FUSIVEIS E ACESSORIOS LTDA</t>
  </si>
  <si>
    <t>MULTPRESS FERRAMENTARIA E ESTAMPARIA LTDA</t>
  </si>
  <si>
    <t>SIGMATEC MICRO USINAGEM EIRELI</t>
  </si>
  <si>
    <t>COMERCIO E INDUSTRIA IRMAOS SALFATIS LTDA</t>
  </si>
  <si>
    <t>AMP BRASIL INDUSTRIA E COMERCIO DE PECAS LTDA</t>
  </si>
  <si>
    <t>SARITUR SANTA RITA TRANSPORTE URBANO E RODOVIARIO LTDA</t>
  </si>
  <si>
    <t>JSL S/A</t>
  </si>
  <si>
    <t>USINA ALTA MOGIANA S/A-ACUCAR E ALCOOL</t>
  </si>
  <si>
    <t>VIACAO PIRACICABANA S.A.</t>
  </si>
  <si>
    <t>VRR COMERCIO DE PECAS LTDA</t>
  </si>
  <si>
    <t>SADA TRANSPORTES E ARMAZENAGENS LTDA</t>
  </si>
  <si>
    <t>D F DE MOURA - PECAS PARA VEICULOS LTDA</t>
  </si>
  <si>
    <t>STEEL LOG - COMERCIO, LOGISTICA, TRANSPORTADORA E SERVICOS L</t>
  </si>
  <si>
    <t>CUNZOLO MAQUINAS E EQUIPAMENTOS LTDA</t>
  </si>
  <si>
    <t>VERITAS PROJETOS E INOVACOES TECNOLOGICAS LTDA</t>
  </si>
  <si>
    <t>TRANSPORTES IMEDIATO LTDA</t>
  </si>
  <si>
    <t>HENRIQUE STEFANI TRANSPORTE E LOGISTICA LTDA</t>
  </si>
  <si>
    <t>IC TRANSPORTES LTDA.</t>
  </si>
  <si>
    <t>VB TRANSPORTES E TURISMO LTDA</t>
  </si>
  <si>
    <t>SAMBAIBA TRANSPORTES URBANOS LTDA.</t>
  </si>
  <si>
    <t>V.A. PINTO BARBOSA TRANSPORTES LTDA.</t>
  </si>
  <si>
    <t>TRANSPORTE COLETIVO DE PIRACICABA SPE LTDA.</t>
  </si>
  <si>
    <t>FAISTEEL CENTRAL DE ACOS LTDA.</t>
  </si>
  <si>
    <t>TURSAN TURISMO SANTO ANDRE LTDA</t>
  </si>
  <si>
    <t>VIACAO COMETA S/A</t>
  </si>
  <si>
    <t>JESMERI MARCOS</t>
  </si>
  <si>
    <t>CS BRASIL TRANSPORTES DE PASSAGEIROS E SERVICOS AMBIENTAIS L</t>
  </si>
  <si>
    <t>PH INTRALOGISTICA E SERVICOS LTDA</t>
  </si>
  <si>
    <t>FM MODEL TRANSPORTES LTDA</t>
  </si>
  <si>
    <t>Pedreira Sanson Ltda.</t>
  </si>
  <si>
    <t>Rodonaves Transportes e Encomendas Ltda</t>
  </si>
  <si>
    <t>COMANDO DIESEL TRANSPORTE E LOGISTICA - EIRELI</t>
  </si>
  <si>
    <t>SAO MARTINHO S/A</t>
  </si>
  <si>
    <t>JBS S/A</t>
  </si>
  <si>
    <t>MAI COMERCIO E TRANSPORTES EIRELI</t>
  </si>
  <si>
    <t>BOM FUTURO AGRICOLA LTDA</t>
  </si>
  <si>
    <t>GIORI TRANSPORTES LTDA</t>
  </si>
  <si>
    <t>RODO LUCAS TRANSPORTES LTDA - ME</t>
  </si>
  <si>
    <t>EUCLIDES RENATO GARBUIO TRANSPORTES LTDA</t>
  </si>
  <si>
    <t>PNEUMARK LTDA.</t>
  </si>
  <si>
    <t>JN PRODUTOS PARA REFORMA DE PNEUS LTDA</t>
  </si>
  <si>
    <t>TRANSPORTADORA PRINT LTDA</t>
  </si>
  <si>
    <t>Sao Martinho S/A</t>
  </si>
  <si>
    <t>CELULOSE NIPO BRASILEIRA S A CENIBRA</t>
  </si>
  <si>
    <t>TRANSPORTADORA JOLIVAN LTDA</t>
  </si>
  <si>
    <t>BUZIN TRANSPORTES E COMERCIO LTDA</t>
  </si>
  <si>
    <t>0001 CESLOG CESARI LOGISTICA LTDA</t>
  </si>
  <si>
    <t>BIOENERGETICA AROEIRA S.A.</t>
  </si>
  <si>
    <t>RITMO LOGISTICA S/A</t>
  </si>
  <si>
    <t>S A USINA CORURIPE ACUCAR E ALCOOL</t>
  </si>
  <si>
    <t>USINA CERRADAO LTDA</t>
  </si>
  <si>
    <t>TORA TRANSPORTES LTDA</t>
  </si>
  <si>
    <t>ENGENHARIA E COMERCIO BANDEIRANTES LTDA</t>
  </si>
  <si>
    <t>VMC VALVULAS MAQUINAS E CAMARAS DE AR VITALINO LTDA</t>
  </si>
  <si>
    <t>KAIZEN LOGISTICA LTDA</t>
  </si>
  <si>
    <t>OTAVIO JUNQUEIRA MOTTA LUIZ E OUTRO</t>
  </si>
  <si>
    <t>THEO TRANSPORTES LTDA.</t>
  </si>
  <si>
    <t>HIPERHAUS CONSTRUCOES LTDA</t>
  </si>
  <si>
    <t>TERRABEL EMPREENDIMENTOS LTDA</t>
  </si>
  <si>
    <t>TRANSPORTES CAPELLINI LTDA</t>
  </si>
  <si>
    <t>TRANSMOB TRANSPORTES LTDA</t>
  </si>
  <si>
    <t>AUTO VIACAO URUBUPUNGA LTDA</t>
  </si>
  <si>
    <t>VIACAO GARCIA LTDA</t>
  </si>
  <si>
    <t>JALLES MACHADO S.A - UOL</t>
  </si>
  <si>
    <t>TRANSLIMA</t>
  </si>
  <si>
    <t>FONTANELLA LOGISTICA &amp; TRANSPORTES LTDA</t>
  </si>
  <si>
    <t>CORDIOLLI TRANSPORTES</t>
  </si>
  <si>
    <t>TRANSREMOCAO TRANSPORTES PESADOS, REMOCOES TECNICAS E ARMAZE</t>
  </si>
  <si>
    <t>CONCRESERV CONCRETO S/A EM RECUPERACAO JUDICIAL</t>
  </si>
  <si>
    <t>SERTRAN TRANSPORTES E SERVICOS LTDA</t>
  </si>
  <si>
    <t>TRANSKOMPA LTDA</t>
  </si>
  <si>
    <t>JP COMERCIO DE PNEUS E SERVICOS LTDA</t>
  </si>
  <si>
    <t>ETTORI TRANSPORTES LTDA</t>
  </si>
  <si>
    <t>RAQUEL ALVES DE MELO CLEMENCIO</t>
  </si>
  <si>
    <t>RIO CORRENTE AGRICOLA</t>
  </si>
  <si>
    <t>VIDEIRA TRANSPORTES RODOVIARIOS LTDA</t>
  </si>
  <si>
    <t>JSL</t>
  </si>
  <si>
    <t>INTERMODAL BRASIL LOGISTICA LTDA.</t>
  </si>
  <si>
    <t>TRANSPORTES PESADOS MINAS S.A.</t>
  </si>
  <si>
    <t>JOANINI TRANSPORTE RODOVIARIO DE CARGAS EIRELI</t>
  </si>
  <si>
    <t>USINA BATATAIS S/A ACUCAR E ALCOOL</t>
  </si>
  <si>
    <t>USINA ALTO ALEGRE S/A - ACUCAR E ALCOOL</t>
  </si>
  <si>
    <t>SANTA LUIZA AGRO PECUARIA LTDA</t>
  </si>
  <si>
    <t>BENDO &amp; CIA LTDA</t>
  </si>
  <si>
    <t>FERRARI AGROINDUSTRIA S/A</t>
  </si>
  <si>
    <t>BUDEL TRANSPORTES</t>
  </si>
  <si>
    <t>COCAL CEREAIS LTDA</t>
  </si>
  <si>
    <t>TRANSPORTADORA MAION</t>
  </si>
  <si>
    <t>RIPEC COMERCIO E SERVICOS LTDA.</t>
  </si>
  <si>
    <t>LOTRANS - LOGISTICA, TRANSPORTES DE CARGAS, COMERCIO E SERVI</t>
  </si>
  <si>
    <t>IMETAME METALMECANICA LTDA</t>
  </si>
  <si>
    <t>ACUCAR E ETANOL OSWALDO RIBEIRO DE MENDONCA S.A.</t>
  </si>
  <si>
    <t>BUNGE AÇUCAR E BIOENERGIA SA</t>
  </si>
  <si>
    <t>ARNALDO CORREIA RODRIGUES GOMES JUNIOR EIRELI</t>
  </si>
  <si>
    <t>COLOMBO AGROINDUSTRIA S/A - STA ADELIA</t>
  </si>
  <si>
    <t>TRANSUL SERVIÇOS LOCAÇÃO E TRANSPORTE LTDA</t>
  </si>
  <si>
    <t>C. R. C. DA COSTA - TRANSPORTES</t>
  </si>
  <si>
    <t>CECILIA SHIGUEMOTO DE SA TRANSPORTES EIRELI</t>
  </si>
  <si>
    <t>R C A TRANSPORTES LTDA</t>
  </si>
  <si>
    <t>ROD TRANSPORTES LTDA</t>
  </si>
  <si>
    <t>TRANSPORTADORA PITUTA LTDA</t>
  </si>
  <si>
    <t>TRANSPORTES CAVALINHO LTDA</t>
  </si>
  <si>
    <t>PASS TRANSPORTES E SERVICOS AMBIENTAIS LTDA</t>
  </si>
  <si>
    <t>CAFELANDIA TRANSPORTADORA LTDA</t>
  </si>
  <si>
    <t>LAURO CARVALHO JUNIOR EIRELI</t>
  </si>
  <si>
    <t>LINS AGROINDUSTRIAL S.A.</t>
  </si>
  <si>
    <t>EXPRESSO RODOMINAS LTDA</t>
  </si>
  <si>
    <t>ARMAC LOCACAO, LOGISTICA E SERVICOS LTDA</t>
  </si>
  <si>
    <t>IGARATINGA TRANSPORTES E SERVICOS LTDA</t>
  </si>
  <si>
    <t>TRANSPORTADORA PEREGRINA EIRELI</t>
  </si>
  <si>
    <t>JODELCIO RODRIGUES DA LUZ EIRELI</t>
  </si>
  <si>
    <t>IMPERIO DISTR. FERR. E UTIL. DOM. LTDA - EPP</t>
  </si>
  <si>
    <t>AGRICOLA MORENO DE NIPOA LTDA</t>
  </si>
  <si>
    <t>JORDAO TRANSPORTES RODOVIARIOS LTDA</t>
  </si>
  <si>
    <t>TRANSPORTES SOUZA ARAUJO LTDA</t>
  </si>
  <si>
    <t>RACA TRANSPORTES LTDA</t>
  </si>
  <si>
    <t>AUTOTRANS TRANSPORTES URBANOS E RODOVIARIOS LTDA</t>
  </si>
  <si>
    <t>USINA SAO JOSE DA ESTIVA SA ACUCAR E ALCOOL</t>
  </si>
  <si>
    <t>AGRICOLA MORENO DE LUIZ ANTONIO LTDA EM RECUPERACAO JUDICIAL</t>
  </si>
  <si>
    <t>JOLIMAR TRANSPORTE EIRELI</t>
  </si>
  <si>
    <t>TRANSPORTADORA DELTA LTDA</t>
  </si>
  <si>
    <t>SUZANO S.A.</t>
  </si>
  <si>
    <t>TRANS KOTHE TRANSPORTES RODOVIARIOS S/A</t>
  </si>
  <si>
    <t>ALFA TRANSPORTES LTDA</t>
  </si>
  <si>
    <t>COESUL-CONSTRUTORA EXTREMO SUL LTDA</t>
  </si>
  <si>
    <t>IBOR TRANSPORTE RODOVIARIO LTDA</t>
  </si>
  <si>
    <t>COL - CENTRO OESTE LOGISTICA LTDA</t>
  </si>
  <si>
    <t>VIACAO MIRACATIBA LTDA</t>
  </si>
  <si>
    <t>PEDRA AGROINDUSTRIAL S/A</t>
  </si>
  <si>
    <t>RAPIDO LUXO CAMPINAS LTDA</t>
  </si>
  <si>
    <t>UMOE BIOENERGY S.A.</t>
  </si>
  <si>
    <t>COMVAP ACUCAR E ALCOOL LTDA</t>
  </si>
  <si>
    <t>TEREOS ACUCAR E ENERGIA BRASIL S.A.</t>
  </si>
  <si>
    <t>SUL CONTINENTAL TRANSPORTES LTDA</t>
  </si>
  <si>
    <t>HT DIESEL EIRELI</t>
  </si>
  <si>
    <t>NELCAR TRANSPORTES RODOVIARIOS LTDA</t>
  </si>
  <si>
    <t>TITAN PROJETOS E INOVACOES TECNOLOGICAS LTDA</t>
  </si>
  <si>
    <t>VERDECAP RECAPAGENS E COMERCIO DE PECAS LTDA</t>
  </si>
  <si>
    <t>GRIPMASTER INDUSTRIA COMERCIO E SOLUCOES EM BORRACHA LTDA</t>
  </si>
  <si>
    <t>NORTE BUSS TRANSPORTES S.A</t>
  </si>
  <si>
    <t>TRANSPORTES WOEU LTDA</t>
  </si>
  <si>
    <t>KAPA PAVIMENTACAO LTDA</t>
  </si>
  <si>
    <t>NUBIA ALMEIDA SILVA</t>
  </si>
  <si>
    <t>USINA VERTENTE LTDA.</t>
  </si>
  <si>
    <t>EXPRESSO RODA BRASIL LTDA.</t>
  </si>
  <si>
    <t>TRANSBEN TRANSPORTES LTDA</t>
  </si>
  <si>
    <t>TIJUCA ALIMENTOS LTDA</t>
  </si>
  <si>
    <t>ALEXANDRE LAND FINATTO</t>
  </si>
  <si>
    <t>RODOVIARIO SHALLOON DE GUARULHOS LOGISTICA E TRANSPORTES EIR</t>
  </si>
  <si>
    <t>DURACAP RENOVADORA DE PNEUS LTDA</t>
  </si>
  <si>
    <t>VIZZANDO USINAGEM LTDA</t>
  </si>
  <si>
    <t>JO LIMA - EMBALAGENS DE PAPELAO</t>
  </si>
  <si>
    <t>SANCETUR - SANTA CECILIA TURISMO LTDA</t>
  </si>
  <si>
    <t>TRANSPORTADORA BOA VIAGEM LTDA</t>
  </si>
  <si>
    <t>Cia Industrial H. Carlos Schneider</t>
  </si>
  <si>
    <t>CERACA - COOPERATIVA DE INFRA-ESTRUTURA E DESENV. VALE DO AR</t>
  </si>
  <si>
    <t>FUNDICAO MARTINELLI LTDA</t>
  </si>
  <si>
    <t>OF DE LIMA EMBALAGENS</t>
  </si>
  <si>
    <t>RODRIGO DOMINGUES DE SOUZA 48511537830</t>
  </si>
  <si>
    <t>GRAFICA KUROSAKI EIRELI</t>
  </si>
  <si>
    <t>MARIVALDO LIMA DOS SANTOS</t>
  </si>
  <si>
    <t>VIX LOGISTICA S/A</t>
  </si>
  <si>
    <t>IMPERIO DG COMERCIO E SERVICOS LTDA</t>
  </si>
  <si>
    <t>BARUERI ATACADISTA DE MATERIAL DE CONSTRUCAO LTDA</t>
  </si>
  <si>
    <t>CRR - CENTRO DE RECICLAGEM - RIO LTDA</t>
  </si>
  <si>
    <t>INSERÇÃO ELETROMECANICA LTDA</t>
  </si>
  <si>
    <t>ANTONIO L FERREIRA S A COMERCIAL E IMPORTADORA</t>
  </si>
  <si>
    <t>F. C. A</t>
  </si>
  <si>
    <t>TRANSJORDANO LTDA</t>
  </si>
  <si>
    <t>J D COCENZO E CIA LTDA</t>
  </si>
  <si>
    <t>AUTOBAMA TRANSPORTES LTDA</t>
  </si>
  <si>
    <t>PRODUTOS ELETRONICOS METALTEX LTDA</t>
  </si>
  <si>
    <t>JTP TRANSPORTES, SERVICOS, GERENCIAMENTO E RECURSOS HUMANOS</t>
  </si>
  <si>
    <t>POLICOMP COMERCIO DE COMPONENTES INDUSTRIAIS LTDA</t>
  </si>
  <si>
    <t>NETP+PHONE TELECOMUNICACOES LTDA</t>
  </si>
  <si>
    <t>KOHOUTEK COMERCIO DE MOVEIS PARA ESCRITORIO LTDA - ME</t>
  </si>
  <si>
    <t>C. L. - COM DE ELETR E MOVEIS LTDA - ME</t>
  </si>
  <si>
    <t>CASA DA EMBALAGEM COMERCIO DE EMBALAGENS E DESCARTAVEIS LTDA</t>
  </si>
  <si>
    <t>ATRHOL - AGENCIA E TRANSPORTES HORIZONTINA LTDA</t>
  </si>
  <si>
    <t>AUTO VIACAO CATARINENSE LTDA</t>
  </si>
  <si>
    <t>FARIPLAS INDÚSTRIA DE ARTEFATOS DE PLÁSTICOS LTDA</t>
  </si>
  <si>
    <t>Lyk Comercio de Variedades Eireli</t>
  </si>
  <si>
    <t>MESTRA PNEUMATICA LTDA</t>
  </si>
  <si>
    <t>ANDRE TORAL BATISTA DE OLIVEIRA</t>
  </si>
  <si>
    <t>WGB Comércio de Importação e Exportação Ltda</t>
  </si>
  <si>
    <t>ALEXSANDRO DA SILVA MELCHOR 21909450898</t>
  </si>
  <si>
    <t>EASY PACK LTDA</t>
  </si>
  <si>
    <t>TOMBINI &amp; CIA. LTDA.</t>
  </si>
  <si>
    <t>TECNOAR TECNICA E COMERCIO DE COMPRESSORES LTDA</t>
  </si>
  <si>
    <t>METAL HORSE IMPORTACAO E EXPORTACAO COMERCIO DE PRODUTOS AUT</t>
  </si>
  <si>
    <t>RSM INDUSTRIA QUIMICA LTDA</t>
  </si>
  <si>
    <t>MG VIDROS AUTOMOTIVOS LTDA</t>
  </si>
  <si>
    <t>EDGARD APARECIDO DA SILVA RAINHA 42147602809</t>
  </si>
  <si>
    <t>CARIM FERRAMENTAS EIRELI</t>
  </si>
  <si>
    <t>SUPERTEX CONCRETO LTDA EM RECUPERACAO JUDICIAL</t>
  </si>
  <si>
    <t>Plusnut comercio de materiais industriais Ltda</t>
  </si>
  <si>
    <t>RG LOG LOGISTICA E TRANSPORTE LTDA</t>
  </si>
  <si>
    <t>MICAPEL-MINERACAO CAPAO DAS PEDRAS LTDA</t>
  </si>
  <si>
    <t>SIPRA TRATAMENTO DE SUPERFICIE LTDA.</t>
  </si>
  <si>
    <t>CLAUDINEI BARBOSA DA SILVA BAUS</t>
  </si>
  <si>
    <t>DOIS A ENGENHARIA E TECNOLOGIA LTDA</t>
  </si>
  <si>
    <t>FAZENDA SAO JUDAS LOGISTICA LTDA</t>
  </si>
  <si>
    <t>LZ INDUSTRIA E COMERCIO DE MATERIAIS ELETRICOS LTDA</t>
  </si>
  <si>
    <t>MARECHAL TRANSPORTES LTDA</t>
  </si>
  <si>
    <t>PERMAK INDUSTRIA E COMERCIO LTDA</t>
  </si>
  <si>
    <t>WHLOG TRANSPORTES E LOGISTICA LTDA</t>
  </si>
  <si>
    <t>TRANSPORTADORA TURISTICA SUZANO LTDA</t>
  </si>
  <si>
    <t>EXPRESSO NEPOMUCENO S/A</t>
  </si>
  <si>
    <t>COMPANHIA MELHORAMENTOS NORTE DO PARANA</t>
  </si>
  <si>
    <t>TRANSPORTES BOTUVERA LTDA</t>
  </si>
  <si>
    <t>AGROPECUARIA RONCADOR LTDA</t>
  </si>
  <si>
    <t>ALVES &amp; ANDRADE TRANSPORTES LTDA</t>
  </si>
  <si>
    <t>JSL S.A.</t>
  </si>
  <si>
    <t>TETRACOMP COMP. ELETRONICOS LTDA ME</t>
  </si>
  <si>
    <t>JS MOTORES ELETRICOS LTDA</t>
  </si>
  <si>
    <t>TRANSPORTES PESADOS MINAS S/A</t>
  </si>
  <si>
    <t>FADEL TRANSPORTES E LOGISTICA LTDA</t>
  </si>
  <si>
    <t>SCANIA LATIN AMERICA LTDA</t>
  </si>
  <si>
    <t>KOVI TECNOLOGIA S.A.</t>
  </si>
  <si>
    <t>VELOCE LOGISTICA S.A.</t>
  </si>
  <si>
    <t>Pandurata Alimentos Ltda</t>
  </si>
  <si>
    <t>ESTRE SPI AMBIENTAL SA EM RECUPERACAO JUDICIAL</t>
  </si>
  <si>
    <t>TRANSPORTADORA NICHELE LTDA</t>
  </si>
  <si>
    <t>RAG COMERCIAL DE ACOS LTDA</t>
  </si>
  <si>
    <t>EQUIPA - EQUIPAMENTOS DA AMAZONIA LTDA</t>
  </si>
  <si>
    <t>TRANSPORTE EXCELSIOR LTDA</t>
  </si>
  <si>
    <t>MAGNABOSCO COMERCIO E TRANSPORTES LTDA</t>
  </si>
  <si>
    <t>TRANSRESIDUOS AMBIENTAL S/A</t>
  </si>
  <si>
    <t>JUNSOLDA MATERIAIS E SERVICOS DE SOLDA LTDA</t>
  </si>
  <si>
    <t>DINON TRANSPORTES LTDA</t>
  </si>
  <si>
    <t>UNIAO COMERCIAL BARAO S/A LOCACAO E EMPREENDIMENTOS</t>
  </si>
  <si>
    <t>LOGMAM TRANSPORTES LTDA</t>
  </si>
  <si>
    <t>MOVELARIA BELA CASA COM MOV ON LINE LTDA</t>
  </si>
  <si>
    <t>COLUMBIA COMERCIAL DE FERRAMENTAS ELETRICAS LTDA</t>
  </si>
  <si>
    <t>Armac Locação, Logística e Serviços S.A.</t>
  </si>
  <si>
    <t>S G NEVES JUNIOR</t>
  </si>
  <si>
    <t>PICCOLOTUR TRANSPORTES TURISTICOS LTDA</t>
  </si>
  <si>
    <t>CARGO POLO COMERCIO, LOGISTICA E TRANSPORTES LTDA</t>
  </si>
  <si>
    <t>MAFP TRANSPORTES LTDA</t>
  </si>
  <si>
    <t>UNIAR MACHINE COMERCIAL E TECNICA UNIPESSOAL LTDA</t>
  </si>
  <si>
    <t>LANCHERO ALIMENTOS DO BRASIL LTDA</t>
  </si>
  <si>
    <t>VWM COM DE HID E PLAST IND</t>
  </si>
  <si>
    <t>VALVULA ESFERA MB - REFORCADA  1/2" - BLUE</t>
  </si>
  <si>
    <t>OMEGA TRANSPORTES RODOVIARIO LTDA</t>
  </si>
  <si>
    <t>USINA SANTA FE S/A.</t>
  </si>
  <si>
    <t>ERTAN INDUSTRIA E COMERCIO DE EQUIPAMENTOS ELETRONICOS LTDA</t>
  </si>
  <si>
    <t>VICK COMERCIO DE PLASTICOS E METAIS LTDA</t>
  </si>
  <si>
    <t>BIMBO DO BRASIL LTDA</t>
  </si>
  <si>
    <t>ASR PNEUS LTDA</t>
  </si>
  <si>
    <t>AMP COMPONENTES INDUSTRIAIS LTDA</t>
  </si>
  <si>
    <t>VPL TAVARES TRANSPORTES LTDA</t>
  </si>
  <si>
    <t>ECOURBIS AMBIENTAL S.A.</t>
  </si>
  <si>
    <t>CHAMPION LOG TRANSPORTES LTDA</t>
  </si>
  <si>
    <t>TSS - TRANSPORTADORA SAO SEBASTIAO LTDA</t>
  </si>
  <si>
    <t>K67 IMPLEMENTOS AERONAUTICOS E RODOVIARIOS LTDA</t>
  </si>
  <si>
    <t>SOUZA SERVICOS E CONSTRUCOES LTDA</t>
  </si>
  <si>
    <t>TRANSTASSI LTDA</t>
  </si>
  <si>
    <t>TRANSPORTES IMEDIATO S/A</t>
  </si>
  <si>
    <t>Kzaon Automacao Residencial LTDA</t>
  </si>
  <si>
    <t>IMB COMERCIO DE MAQUINAS E EQUIPAMENTOS LTDA</t>
  </si>
  <si>
    <t>E-COM SOLUCOES LTDA</t>
  </si>
  <si>
    <t>MIRA OTM TRANSPORTES LTDA</t>
  </si>
  <si>
    <t>Brasil</t>
  </si>
  <si>
    <t>MARCELO RIBEIRO DE MENDONCA E OUTROS</t>
  </si>
  <si>
    <t>V D M CARGAS LTDA</t>
  </si>
  <si>
    <t>LWART SOLUCOES AMBIENTAIS S.A.</t>
  </si>
  <si>
    <t>ALTO TIETE TRANSPORTES LTDA</t>
  </si>
  <si>
    <t>COPACOL-COOPERATIVA AGROINDUSTRIAL CONSOLATA</t>
  </si>
  <si>
    <t>J R TRANSPORTES LTDA</t>
  </si>
  <si>
    <t>REITER TRANSPORTES E LOGISTICA LTDA</t>
  </si>
  <si>
    <t>CORPORATE LOGISTICS DO BRASIL LTDA</t>
  </si>
  <si>
    <t>ITAIPU INDUSTRIA E COMERCIO DE BRITAS E ASFALTO LTDA.</t>
  </si>
  <si>
    <t>TRANSPORTES NOVA ERA LTDA</t>
  </si>
  <si>
    <t>EL ELION ESTRUTURAS METALICAS LTDA</t>
  </si>
  <si>
    <t>AUTOPARTS PIN LTDA</t>
  </si>
  <si>
    <t>TERMI MATERIAIS ELETRICOS LTDA</t>
  </si>
  <si>
    <t>LIXA TUDO ABRASIVOS FERRAMENTAS LTDA</t>
  </si>
  <si>
    <t>NTS DO BRASIL COMERCIO E SERVICOS DE MAQUINAS E FERRAM.LTDA</t>
  </si>
  <si>
    <t>CARSTEN SERVICOS E TRANSPORTES LTDA</t>
  </si>
  <si>
    <t>ICCILA-INDUSTRIA , COMERCIO E CONSTRUCOES IBAGE LTDA</t>
  </si>
  <si>
    <t>BUTILAMIL INDUSTRIAS REUNIDAS S/A</t>
  </si>
  <si>
    <t>P &amp; W IGARAPE TRANSPORTES LTDA.</t>
  </si>
  <si>
    <t>GRECA TRANSPORTES DE CARGAS LTDA.</t>
  </si>
  <si>
    <t>EXPRESSO GERACAO TRANSPORTES LTDA</t>
  </si>
  <si>
    <t>PONTO DO BORRACHEIRO LTDA</t>
  </si>
  <si>
    <t>Tombini - Itupeva</t>
  </si>
  <si>
    <t>KM COMERCIAL E INSTALADORA ELETRICA LTDA</t>
  </si>
  <si>
    <t>TOPVENDAS COMERCIO DE PRODUTOS LTDA</t>
  </si>
  <si>
    <t>LUCAS COMERCIO DE PNEUS E ACESSORIOS AUTOMOTIVOS LTDA</t>
  </si>
  <si>
    <t>EXPRESSO MIRASSOL LTDA</t>
  </si>
  <si>
    <t>BRAVO SERVICOS LOGISTICOS LTDA</t>
  </si>
  <si>
    <t>CONSTRUCOES BARADEL MATERIAIS PARA CONSTRUCAO LTDA</t>
  </si>
  <si>
    <t>VIX TRANSPORTES DEDICADOS LTDA</t>
  </si>
  <si>
    <t>AURICCHIO BARROS EXTRACAO COM AREIA E PEDRA LTDA</t>
  </si>
  <si>
    <t>RADIAL TRANSPORTE COLETIVO LTDA</t>
  </si>
  <si>
    <t>CONCRESERV SUDESTE S/A.</t>
  </si>
  <si>
    <t>GUERRA LOGISTICA LTDA</t>
  </si>
  <si>
    <t>TRANSMIMO LTDA</t>
  </si>
  <si>
    <t>T.H.V.-TRANSPORTES LTDA</t>
  </si>
  <si>
    <t>BLOCOS E LAJES ITAIM IND E COM LTDA EPP</t>
  </si>
  <si>
    <t>nCodForn</t>
  </si>
  <si>
    <t>nCodProd</t>
  </si>
  <si>
    <t>SAFIRA</t>
  </si>
  <si>
    <t>LÂMINA INFERIOR DA ROSETA 1 PM2100</t>
  </si>
  <si>
    <t>MOLA DOS PINOS DOS TIPOS PM2100</t>
  </si>
  <si>
    <t>Etapa</t>
  </si>
  <si>
    <t>Status</t>
  </si>
  <si>
    <t>Início da macro</t>
  </si>
  <si>
    <t>OK</t>
  </si>
  <si>
    <t>Última linha identificada na planilha LISTA</t>
  </si>
  <si>
    <t>Loop de leitura iniciado</t>
  </si>
  <si>
    <t>Fim da macro</t>
  </si>
  <si>
    <t>Concluído com sucesso</t>
  </si>
  <si>
    <t>Envio de requisições iniciado</t>
  </si>
  <si>
    <t>Data</t>
  </si>
  <si>
    <t>Código</t>
  </si>
  <si>
    <t>Descrição</t>
  </si>
  <si>
    <t>Est. Atual</t>
  </si>
  <si>
    <t xml:space="preserve">Coluna A: </t>
  </si>
  <si>
    <t xml:space="preserve">Coluna B: </t>
  </si>
  <si>
    <t>Coluna C:</t>
  </si>
  <si>
    <t xml:space="preserve">Coluna D: </t>
  </si>
  <si>
    <t xml:space="preserve">Coluna E: </t>
  </si>
  <si>
    <t xml:space="preserve">                            GESTÃO DE ESTOQUE E PRODUÇÃO PNEUMARK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</si>
</sst>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1"/>
      <color rgb="FF7030A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0"/>
      <color rgb="FF000000"/>
      <name val="Arial"/>
      <family val="2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18"/>
      <color theme="0" tint="-4.9989318521683403E-2"/>
      <name val="Arial"/>
      <family val="2"/>
    </font>
    <font>
      <sz val="8"/>
      <color indexed="9"/>
      <name val="Arial"/>
      <family val="2"/>
    </font>
    <font>
      <sz val="7"/>
      <name val="Arial"/>
      <family val="2"/>
    </font>
    <font>
      <sz val="9"/>
      <name val="Arial"/>
      <family val="2"/>
    </font>
    <font>
      <sz val="8"/>
      <color indexed="32"/>
      <name val="Arial"/>
      <family val="2"/>
    </font>
    <font>
      <sz val="8"/>
      <color theme="0" tint="-0.14999847407452621"/>
      <name val="Calibri"/>
      <family val="2"/>
      <scheme val="minor"/>
    </font>
    <font>
      <sz val="8"/>
      <color theme="0" tint="-0.149998474074526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CC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</borders>
  <cellStyleXfs count="5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3" fillId="0" borderId="0"/>
    <xf numFmtId="44" fontId="12" fillId="0" borderId="0" applyFont="0" applyFill="0" applyBorder="0" applyAlignment="0" applyProtection="0"/>
  </cellStyleXfs>
  <cellXfs count="117">
    <xf numFmtId="0" fontId="0" fillId="0" borderId="0" xfId="0"/>
    <xf numFmtId="0" fontId="4" fillId="0" borderId="0" xfId="1" applyFont="1"/>
    <xf numFmtId="0" fontId="4" fillId="0" borderId="0" xfId="1" applyFont="1" applyAlignment="1">
      <alignment horizontal="center" vertical="center"/>
    </xf>
    <xf numFmtId="0" fontId="6" fillId="3" borderId="6" xfId="1" applyFont="1" applyFill="1" applyBorder="1" applyAlignment="1">
      <alignment horizontal="center" vertical="center"/>
    </xf>
    <xf numFmtId="0" fontId="6" fillId="3" borderId="7" xfId="1" applyFont="1" applyFill="1" applyBorder="1" applyAlignment="1">
      <alignment horizontal="center" vertical="center"/>
    </xf>
    <xf numFmtId="0" fontId="6" fillId="3" borderId="8" xfId="1" applyFont="1" applyFill="1" applyBorder="1" applyAlignment="1">
      <alignment horizontal="center" vertical="center"/>
    </xf>
    <xf numFmtId="9" fontId="4" fillId="0" borderId="0" xfId="2" applyFont="1"/>
    <xf numFmtId="0" fontId="8" fillId="0" borderId="2" xfId="1" applyFont="1" applyBorder="1"/>
    <xf numFmtId="0" fontId="8" fillId="0" borderId="2" xfId="1" applyFont="1" applyBorder="1" applyAlignment="1">
      <alignment horizontal="center"/>
    </xf>
    <xf numFmtId="0" fontId="2" fillId="0" borderId="2" xfId="3" applyFont="1" applyBorder="1" applyAlignment="1"/>
    <xf numFmtId="0" fontId="2" fillId="0" borderId="1" xfId="3" applyFont="1" applyBorder="1" applyAlignment="1">
      <alignment horizontal="center"/>
    </xf>
    <xf numFmtId="3" fontId="9" fillId="0" borderId="2" xfId="1" applyNumberFormat="1" applyFont="1" applyBorder="1" applyAlignment="1">
      <alignment horizontal="center"/>
    </xf>
    <xf numFmtId="9" fontId="10" fillId="0" borderId="2" xfId="2" applyFont="1" applyBorder="1" applyAlignment="1">
      <alignment horizontal="center"/>
    </xf>
    <xf numFmtId="0" fontId="2" fillId="0" borderId="2" xfId="3" applyFont="1" applyBorder="1"/>
    <xf numFmtId="0" fontId="2" fillId="0" borderId="1" xfId="3" applyFont="1" applyFill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2" fillId="0" borderId="2" xfId="3" applyFont="1" applyFill="1" applyBorder="1"/>
    <xf numFmtId="3" fontId="11" fillId="0" borderId="2" xfId="1" applyNumberFormat="1" applyFont="1" applyBorder="1" applyAlignment="1">
      <alignment horizontal="center"/>
    </xf>
    <xf numFmtId="0" fontId="2" fillId="2" borderId="1" xfId="3" applyFont="1" applyFill="1" applyBorder="1" applyAlignment="1">
      <alignment horizontal="center"/>
    </xf>
    <xf numFmtId="0" fontId="11" fillId="0" borderId="2" xfId="1" applyFont="1" applyBorder="1" applyAlignment="1">
      <alignment horizontal="center"/>
    </xf>
    <xf numFmtId="0" fontId="2" fillId="0" borderId="2" xfId="3" applyFont="1" applyBorder="1" applyAlignment="1">
      <alignment horizontal="left"/>
    </xf>
    <xf numFmtId="0" fontId="2" fillId="2" borderId="2" xfId="3" applyFont="1" applyFill="1" applyBorder="1"/>
    <xf numFmtId="0" fontId="2" fillId="0" borderId="11" xfId="3" applyFont="1" applyBorder="1"/>
    <xf numFmtId="0" fontId="2" fillId="0" borderId="2" xfId="3" applyFont="1" applyFill="1" applyBorder="1" applyAlignment="1">
      <alignment horizontal="center"/>
    </xf>
    <xf numFmtId="0" fontId="2" fillId="0" borderId="1" xfId="3" applyFont="1" applyFill="1" applyBorder="1"/>
    <xf numFmtId="0" fontId="2" fillId="0" borderId="1" xfId="3" applyFont="1" applyBorder="1"/>
    <xf numFmtId="0" fontId="2" fillId="2" borderId="2" xfId="3" applyFont="1" applyFill="1" applyBorder="1" applyAlignment="1">
      <alignment horizontal="center"/>
    </xf>
    <xf numFmtId="0" fontId="2" fillId="0" borderId="2" xfId="3" applyFont="1" applyBorder="1" applyAlignment="1">
      <alignment horizontal="center"/>
    </xf>
    <xf numFmtId="9" fontId="6" fillId="0" borderId="9" xfId="2" applyFont="1" applyBorder="1" applyAlignment="1">
      <alignment vertical="center"/>
    </xf>
    <xf numFmtId="9" fontId="6" fillId="0" borderId="10" xfId="2" applyFont="1" applyBorder="1" applyAlignment="1">
      <alignment vertical="center"/>
    </xf>
    <xf numFmtId="9" fontId="7" fillId="0" borderId="10" xfId="2" applyFont="1" applyBorder="1" applyAlignment="1">
      <alignment vertical="center"/>
    </xf>
    <xf numFmtId="9" fontId="6" fillId="0" borderId="10" xfId="2" applyFont="1" applyBorder="1" applyAlignment="1">
      <alignment horizontal="center" vertical="center"/>
    </xf>
    <xf numFmtId="0" fontId="4" fillId="0" borderId="0" xfId="1" applyFont="1" applyAlignment="1">
      <alignment horizontal="center"/>
    </xf>
    <xf numFmtId="0" fontId="5" fillId="4" borderId="0" xfId="1" applyFont="1" applyFill="1" applyBorder="1" applyAlignment="1">
      <alignment horizontal="left" vertical="center"/>
    </xf>
    <xf numFmtId="0" fontId="6" fillId="3" borderId="0" xfId="1" applyFont="1" applyFill="1" applyBorder="1" applyAlignment="1">
      <alignment horizontal="center" vertical="center"/>
    </xf>
    <xf numFmtId="9" fontId="6" fillId="0" borderId="0" xfId="2" applyFont="1" applyBorder="1" applyAlignment="1">
      <alignment vertical="center"/>
    </xf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13" fillId="5" borderId="0" xfId="0" applyFont="1" applyFill="1" applyAlignment="1">
      <alignment horizontal="center" vertical="center" wrapText="1"/>
    </xf>
    <xf numFmtId="0" fontId="13" fillId="5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3" fillId="0" borderId="0" xfId="0" applyFont="1" applyFill="1"/>
    <xf numFmtId="0" fontId="5" fillId="4" borderId="3" xfId="1" applyFont="1" applyFill="1" applyBorder="1" applyAlignment="1">
      <alignment horizontal="left" vertical="center"/>
    </xf>
    <xf numFmtId="0" fontId="5" fillId="4" borderId="4" xfId="1" applyFont="1" applyFill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left" vertical="center"/>
    </xf>
    <xf numFmtId="0" fontId="2" fillId="0" borderId="0" xfId="0" applyFont="1" applyBorder="1"/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14" fontId="18" fillId="0" borderId="0" xfId="0" applyNumberFormat="1" applyFont="1" applyFill="1" applyBorder="1" applyAlignment="1">
      <alignment horizontal="center"/>
    </xf>
    <xf numFmtId="0" fontId="17" fillId="0" borderId="0" xfId="0" applyFont="1" applyBorder="1"/>
    <xf numFmtId="0" fontId="17" fillId="2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14" fontId="18" fillId="0" borderId="0" xfId="0" applyNumberFormat="1" applyFont="1" applyFill="1" applyBorder="1" applyAlignment="1">
      <alignment horizontal="center" vertical="center"/>
    </xf>
    <xf numFmtId="3" fontId="18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2" fillId="5" borderId="17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left"/>
    </xf>
    <xf numFmtId="0" fontId="17" fillId="0" borderId="0" xfId="0" applyFont="1" applyFill="1" applyBorder="1" applyAlignment="1"/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44" fontId="18" fillId="0" borderId="0" xfId="4" applyFont="1" applyFill="1" applyBorder="1" applyAlignment="1">
      <alignment horizontal="center"/>
    </xf>
    <xf numFmtId="44" fontId="17" fillId="0" borderId="0" xfId="4" applyFont="1" applyFill="1" applyBorder="1" applyAlignment="1">
      <alignment horizontal="center"/>
    </xf>
    <xf numFmtId="44" fontId="18" fillId="0" borderId="0" xfId="4" applyFont="1" applyFill="1" applyBorder="1" applyAlignment="1">
      <alignment horizontal="right"/>
    </xf>
    <xf numFmtId="44" fontId="17" fillId="0" borderId="0" xfId="4" applyFont="1" applyFill="1" applyBorder="1"/>
    <xf numFmtId="44" fontId="22" fillId="0" borderId="0" xfId="4" applyFont="1" applyFill="1" applyBorder="1"/>
    <xf numFmtId="44" fontId="21" fillId="0" borderId="0" xfId="4" applyFont="1" applyFill="1" applyBorder="1"/>
    <xf numFmtId="44" fontId="2" fillId="0" borderId="0" xfId="4" applyFont="1" applyFill="1" applyBorder="1"/>
    <xf numFmtId="44" fontId="18" fillId="0" borderId="0" xfId="4" applyFont="1" applyFill="1" applyBorder="1"/>
    <xf numFmtId="44" fontId="18" fillId="0" borderId="0" xfId="0" applyNumberFormat="1" applyFont="1" applyFill="1" applyBorder="1"/>
    <xf numFmtId="0" fontId="22" fillId="0" borderId="0" xfId="0" applyFont="1" applyFill="1" applyBorder="1"/>
    <xf numFmtId="0" fontId="21" fillId="0" borderId="0" xfId="0" applyFont="1" applyFill="1" applyBorder="1"/>
    <xf numFmtId="9" fontId="17" fillId="0" borderId="0" xfId="0" applyNumberFormat="1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44" fontId="17" fillId="0" borderId="0" xfId="0" applyNumberFormat="1" applyFont="1" applyFill="1" applyBorder="1" applyAlignment="1">
      <alignment horizontal="left"/>
    </xf>
    <xf numFmtId="0" fontId="22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/>
    </xf>
    <xf numFmtId="44" fontId="17" fillId="0" borderId="0" xfId="0" applyNumberFormat="1" applyFont="1" applyFill="1" applyBorder="1" applyAlignment="1">
      <alignment horizontal="center"/>
    </xf>
    <xf numFmtId="3" fontId="17" fillId="6" borderId="0" xfId="0" applyNumberFormat="1" applyFont="1" applyFill="1" applyBorder="1" applyAlignment="1">
      <alignment horizontal="center"/>
    </xf>
    <xf numFmtId="3" fontId="17" fillId="7" borderId="0" xfId="0" applyNumberFormat="1" applyFont="1" applyFill="1" applyBorder="1" applyAlignment="1">
      <alignment horizontal="center"/>
    </xf>
    <xf numFmtId="3" fontId="17" fillId="8" borderId="0" xfId="0" applyNumberFormat="1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 wrapText="1"/>
    </xf>
    <xf numFmtId="0" fontId="24" fillId="5" borderId="0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left" vertical="center"/>
    </xf>
    <xf numFmtId="0" fontId="24" fillId="5" borderId="0" xfId="0" applyFont="1" applyFill="1" applyBorder="1" applyAlignment="1">
      <alignment horizontal="center" vertical="center" wrapText="1"/>
    </xf>
    <xf numFmtId="44" fontId="24" fillId="5" borderId="0" xfId="4" applyFont="1" applyFill="1" applyBorder="1" applyAlignment="1">
      <alignment horizontal="center" vertical="center" wrapText="1"/>
    </xf>
    <xf numFmtId="44" fontId="24" fillId="5" borderId="0" xfId="4" applyFont="1" applyFill="1" applyBorder="1"/>
    <xf numFmtId="0" fontId="24" fillId="5" borderId="0" xfId="0" applyFont="1" applyFill="1" applyBorder="1"/>
    <xf numFmtId="0" fontId="24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left"/>
    </xf>
    <xf numFmtId="0" fontId="25" fillId="0" borderId="0" xfId="0" applyFont="1" applyFill="1" applyBorder="1"/>
    <xf numFmtId="0" fontId="17" fillId="0" borderId="12" xfId="0" applyFont="1" applyBorder="1"/>
    <xf numFmtId="0" fontId="25" fillId="5" borderId="13" xfId="0" applyFont="1" applyFill="1" applyBorder="1"/>
    <xf numFmtId="0" fontId="24" fillId="5" borderId="14" xfId="0" applyFont="1" applyFill="1" applyBorder="1" applyAlignment="1">
      <alignment horizontal="center" vertical="center" wrapText="1"/>
    </xf>
    <xf numFmtId="0" fontId="24" fillId="5" borderId="16" xfId="0" applyFont="1" applyFill="1" applyBorder="1" applyAlignment="1">
      <alignment horizontal="center"/>
    </xf>
    <xf numFmtId="0" fontId="2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left" vertical="center"/>
    </xf>
    <xf numFmtId="0" fontId="24" fillId="5" borderId="17" xfId="0" applyFont="1" applyFill="1" applyBorder="1" applyAlignment="1">
      <alignment horizontal="center" vertical="center" wrapText="1"/>
    </xf>
    <xf numFmtId="0" fontId="24" fillId="5" borderId="17" xfId="0" applyFont="1" applyFill="1" applyBorder="1" applyAlignment="1">
      <alignment horizontal="center" vertical="center" wrapText="1"/>
    </xf>
    <xf numFmtId="44" fontId="24" fillId="5" borderId="17" xfId="4" applyFont="1" applyFill="1" applyBorder="1" applyAlignment="1">
      <alignment horizontal="center" vertical="center" wrapText="1"/>
    </xf>
    <xf numFmtId="44" fontId="24" fillId="5" borderId="17" xfId="4" applyFont="1" applyFill="1" applyBorder="1" applyAlignment="1">
      <alignment horizontal="center"/>
    </xf>
    <xf numFmtId="0" fontId="24" fillId="5" borderId="17" xfId="0" applyFont="1" applyFill="1" applyBorder="1"/>
    <xf numFmtId="0" fontId="24" fillId="5" borderId="17" xfId="0" applyFont="1" applyFill="1" applyBorder="1" applyAlignment="1">
      <alignment horizontal="center"/>
    </xf>
    <xf numFmtId="0" fontId="24" fillId="5" borderId="17" xfId="0" applyFont="1" applyFill="1" applyBorder="1" applyAlignment="1">
      <alignment horizontal="left"/>
    </xf>
    <xf numFmtId="0" fontId="25" fillId="5" borderId="18" xfId="0" applyFont="1" applyFill="1" applyBorder="1"/>
    <xf numFmtId="0" fontId="19" fillId="5" borderId="19" xfId="0" applyFont="1" applyFill="1" applyBorder="1" applyAlignment="1">
      <alignment horizontal="left"/>
    </xf>
    <xf numFmtId="0" fontId="19" fillId="5" borderId="20" xfId="0" applyFont="1" applyFill="1" applyBorder="1" applyAlignment="1">
      <alignment horizontal="left"/>
    </xf>
    <xf numFmtId="0" fontId="19" fillId="5" borderId="21" xfId="0" applyFont="1" applyFill="1" applyBorder="1" applyAlignment="1">
      <alignment horizontal="left"/>
    </xf>
  </cellXfs>
  <cellStyles count="5">
    <cellStyle name="Moeda" xfId="4" builtinId="4"/>
    <cellStyle name="Normal" xfId="0" builtinId="0"/>
    <cellStyle name="Normal 2" xfId="1"/>
    <cellStyle name="Normal 2 2" xfId="3"/>
    <cellStyle name="Porcentagem 2" xfId="2"/>
  </cellStyles>
  <dxfs count="0"/>
  <tableStyles count="0" defaultTableStyle="TableStyleMedium9" defaultPivotStyle="PivotStyleLight16"/>
  <colors>
    <mruColors>
      <color rgb="FFFFCC00"/>
      <color rgb="FFFF3300"/>
      <color rgb="FFFF99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00" b="1">
                <a:latin typeface="Arial" panose="020B0604020202020204" pitchFamily="34" charset="0"/>
                <a:cs typeface="Arial" panose="020B0604020202020204" pitchFamily="34" charset="0"/>
              </a:rPr>
              <a:t>ACURACIDADE ESTOQUE DE PRODUTO ACABADO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IMPRESSÃO!#REF!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IMPRESSÃO!#REF!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IMPRESSÃO!#REF!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5DC-4F3F-BEC1-9DCC4DD774B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4718384"/>
        <c:axId val="574719696"/>
      </c:barChart>
      <c:catAx>
        <c:axId val="5747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574719696"/>
        <c:crosses val="autoZero"/>
        <c:auto val="1"/>
        <c:lblAlgn val="ctr"/>
        <c:lblOffset val="100"/>
        <c:noMultiLvlLbl val="0"/>
      </c:catAx>
      <c:valAx>
        <c:axId val="574719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57471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CONTROLE</a:t>
            </a:r>
            <a:r>
              <a:rPr lang="pt-BR" baseline="0"/>
              <a:t> DE ESTOQUE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1187201184914107E-2"/>
          <c:y val="0.17231126596980256"/>
          <c:w val="0.87285152633929053"/>
          <c:h val="0.58800406046805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ACURACIDADE!$L$3:$V$3</c:f>
              <c:strCache>
                <c:ptCount val="11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</c:strCache>
            </c:strRef>
          </c:cat>
          <c:val>
            <c:numRef>
              <c:f>ACURACIDADE!$L$4:$V$4</c:f>
              <c:numCache>
                <c:formatCode>0%</c:formatCode>
                <c:ptCount val="11"/>
                <c:pt idx="1">
                  <c:v>0.9</c:v>
                </c:pt>
                <c:pt idx="2">
                  <c:v>0.92</c:v>
                </c:pt>
                <c:pt idx="3">
                  <c:v>0.95</c:v>
                </c:pt>
                <c:pt idx="4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64-4FEE-8830-F95F8ECC4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8703616"/>
        <c:axId val="1968694048"/>
      </c:barChart>
      <c:catAx>
        <c:axId val="196870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8694048"/>
        <c:crosses val="autoZero"/>
        <c:auto val="1"/>
        <c:lblAlgn val="ctr"/>
        <c:lblOffset val="100"/>
        <c:noMultiLvlLbl val="0"/>
      </c:catAx>
      <c:valAx>
        <c:axId val="19686940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870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 horizontalDpi="360" verticalDpi="36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</xdr:row>
          <xdr:rowOff>104775</xdr:rowOff>
        </xdr:from>
        <xdr:to>
          <xdr:col>1</xdr:col>
          <xdr:colOff>419100</xdr:colOff>
          <xdr:row>2</xdr:row>
          <xdr:rowOff>209550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CAP.</a:t>
              </a:r>
            </a:p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PRODUTIVA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228599</xdr:colOff>
          <xdr:row>2</xdr:row>
          <xdr:rowOff>247650</xdr:rowOff>
        </xdr:from>
        <xdr:to>
          <xdr:col>1</xdr:col>
          <xdr:colOff>428624</xdr:colOff>
          <xdr:row>3</xdr:row>
          <xdr:rowOff>133350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COMBINAÇÃO </a:t>
              </a:r>
            </a:p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PRODUTIVA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467290</xdr:colOff>
          <xdr:row>1</xdr:row>
          <xdr:rowOff>47625</xdr:rowOff>
        </xdr:from>
        <xdr:to>
          <xdr:col>3</xdr:col>
          <xdr:colOff>223351</xdr:colOff>
          <xdr:row>3</xdr:row>
          <xdr:rowOff>161925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413851</xdr:colOff>
          <xdr:row>1</xdr:row>
          <xdr:rowOff>47625</xdr:rowOff>
        </xdr:from>
        <xdr:to>
          <xdr:col>5</xdr:col>
          <xdr:colOff>65703</xdr:colOff>
          <xdr:row>3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518625</xdr:colOff>
      <xdr:row>1</xdr:row>
      <xdr:rowOff>57150</xdr:rowOff>
    </xdr:from>
    <xdr:to>
      <xdr:col>4</xdr:col>
      <xdr:colOff>476054</xdr:colOff>
      <xdr:row>3</xdr:row>
      <xdr:rowOff>142875</xdr:rowOff>
    </xdr:to>
    <xdr:pic macro="[0]!AbrirResumoProducao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699" y="419100"/>
          <a:ext cx="733425" cy="809625"/>
        </a:xfrm>
        <a:prstGeom prst="rect">
          <a:avLst/>
        </a:prstGeom>
      </xdr:spPr>
    </xdr:pic>
    <xdr:clientData/>
  </xdr:twoCellAnchor>
  <xdr:twoCellAnchor editAs="absolute">
    <xdr:from>
      <xdr:col>2</xdr:col>
      <xdr:colOff>516989</xdr:colOff>
      <xdr:row>1</xdr:row>
      <xdr:rowOff>85725</xdr:rowOff>
    </xdr:from>
    <xdr:to>
      <xdr:col>3</xdr:col>
      <xdr:colOff>144818</xdr:colOff>
      <xdr:row>3</xdr:row>
      <xdr:rowOff>114300</xdr:rowOff>
    </xdr:to>
    <xdr:pic macro="[0]!VerificarPontoDePedidoNivelado"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9958" y="447675"/>
          <a:ext cx="797266" cy="7524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1</xdr:row>
          <xdr:rowOff>123825</xdr:rowOff>
        </xdr:from>
        <xdr:to>
          <xdr:col>1</xdr:col>
          <xdr:colOff>1211619</xdr:colOff>
          <xdr:row>3</xdr:row>
          <xdr:rowOff>133156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FFFFFF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641343</xdr:colOff>
      <xdr:row>2</xdr:row>
      <xdr:rowOff>28576</xdr:rowOff>
    </xdr:from>
    <xdr:to>
      <xdr:col>1</xdr:col>
      <xdr:colOff>1255357</xdr:colOff>
      <xdr:row>2</xdr:row>
      <xdr:rowOff>466726</xdr:rowOff>
    </xdr:to>
    <xdr:pic macro="[0]!AlternarVisualizacaoLimpa"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043" y="638176"/>
          <a:ext cx="614014" cy="438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76201</xdr:colOff>
      <xdr:row>141</xdr:row>
      <xdr:rowOff>76200</xdr:rowOff>
    </xdr:from>
    <xdr:to>
      <xdr:col>11</xdr:col>
      <xdr:colOff>352425</xdr:colOff>
      <xdr:row>172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66675</xdr:colOff>
      <xdr:row>1</xdr:row>
      <xdr:rowOff>16922</xdr:rowOff>
    </xdr:from>
    <xdr:to>
      <xdr:col>21</xdr:col>
      <xdr:colOff>847725</xdr:colOff>
      <xdr:row>1</xdr:row>
      <xdr:rowOff>508526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6CEF8A9-8F49-40EF-86D2-294D9297C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36400" y="207422"/>
          <a:ext cx="781050" cy="491604"/>
        </a:xfrm>
        <a:prstGeom prst="rect">
          <a:avLst/>
        </a:prstGeom>
      </xdr:spPr>
    </xdr:pic>
    <xdr:clientData/>
  </xdr:twoCellAnchor>
  <xdr:twoCellAnchor>
    <xdr:from>
      <xdr:col>16</xdr:col>
      <xdr:colOff>533399</xdr:colOff>
      <xdr:row>8</xdr:row>
      <xdr:rowOff>66675</xdr:rowOff>
    </xdr:from>
    <xdr:to>
      <xdr:col>23</xdr:col>
      <xdr:colOff>161924</xdr:colOff>
      <xdr:row>23</xdr:row>
      <xdr:rowOff>123826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E793"/>
  <sheetViews>
    <sheetView topLeftCell="F1" workbookViewId="0">
      <pane ySplit="1" topLeftCell="A65" activePane="bottomLeft" state="frozen"/>
      <selection pane="bottomLeft" activeCell="J85" sqref="J85"/>
    </sheetView>
  </sheetViews>
  <sheetFormatPr defaultRowHeight="12.75" x14ac:dyDescent="0.2"/>
  <cols>
    <col min="1" max="1" width="16.7109375" bestFit="1" customWidth="1"/>
    <col min="2" max="2" width="74.7109375" bestFit="1" customWidth="1"/>
    <col min="3" max="3" width="13.85546875" bestFit="1" customWidth="1"/>
    <col min="4" max="4" width="4.85546875" customWidth="1"/>
    <col min="5" max="5" width="74.7109375" bestFit="1" customWidth="1"/>
    <col min="6" max="6" width="13.85546875" bestFit="1" customWidth="1"/>
    <col min="7" max="7" width="16" bestFit="1" customWidth="1"/>
    <col min="8" max="8" width="128.5703125" bestFit="1" customWidth="1"/>
  </cols>
  <sheetData>
    <row r="1" spans="1:5" x14ac:dyDescent="0.2">
      <c r="A1" t="s">
        <v>876</v>
      </c>
      <c r="B1" t="s">
        <v>480</v>
      </c>
      <c r="C1" t="s">
        <v>522</v>
      </c>
      <c r="D1" t="s">
        <v>523</v>
      </c>
      <c r="E1" t="s">
        <v>877</v>
      </c>
    </row>
    <row r="2" spans="1:5" x14ac:dyDescent="0.2">
      <c r="A2">
        <v>2201108261</v>
      </c>
      <c r="B2" t="s">
        <v>878</v>
      </c>
      <c r="C2">
        <v>2208237183</v>
      </c>
      <c r="E2" t="s">
        <v>534</v>
      </c>
    </row>
    <row r="3" spans="1:5" x14ac:dyDescent="0.2">
      <c r="A3">
        <v>2201108877</v>
      </c>
      <c r="B3" t="s">
        <v>879</v>
      </c>
      <c r="C3">
        <v>4206125548</v>
      </c>
      <c r="E3" t="s">
        <v>697</v>
      </c>
    </row>
    <row r="4" spans="1:5" x14ac:dyDescent="0.2">
      <c r="A4">
        <v>2204404114</v>
      </c>
      <c r="B4" t="s">
        <v>880</v>
      </c>
      <c r="C4">
        <v>3339641320</v>
      </c>
      <c r="E4" t="s">
        <v>600</v>
      </c>
    </row>
    <row r="5" spans="1:5" x14ac:dyDescent="0.2">
      <c r="A5">
        <v>2204404114</v>
      </c>
      <c r="B5" t="s">
        <v>880</v>
      </c>
      <c r="C5">
        <v>4117744886</v>
      </c>
      <c r="E5" t="s">
        <v>709</v>
      </c>
    </row>
    <row r="6" spans="1:5" x14ac:dyDescent="0.2">
      <c r="A6">
        <v>2204408055</v>
      </c>
      <c r="B6" t="s">
        <v>881</v>
      </c>
      <c r="C6">
        <v>2204409837</v>
      </c>
      <c r="E6" t="s">
        <v>527</v>
      </c>
    </row>
    <row r="7" spans="1:5" x14ac:dyDescent="0.2">
      <c r="A7">
        <v>2204408055</v>
      </c>
      <c r="B7" t="s">
        <v>881</v>
      </c>
      <c r="C7">
        <v>4081178802</v>
      </c>
      <c r="E7" t="s">
        <v>656</v>
      </c>
    </row>
    <row r="8" spans="1:5" x14ac:dyDescent="0.2">
      <c r="A8">
        <v>2204408055</v>
      </c>
      <c r="B8" t="s">
        <v>881</v>
      </c>
      <c r="C8">
        <v>3268952958</v>
      </c>
      <c r="E8" t="s">
        <v>516</v>
      </c>
    </row>
    <row r="9" spans="1:5" x14ac:dyDescent="0.2">
      <c r="A9">
        <v>2204408055</v>
      </c>
      <c r="B9" t="s">
        <v>881</v>
      </c>
      <c r="C9">
        <v>3273916081</v>
      </c>
      <c r="E9" t="s">
        <v>517</v>
      </c>
    </row>
    <row r="10" spans="1:5" x14ac:dyDescent="0.2">
      <c r="A10">
        <v>2204408055</v>
      </c>
      <c r="B10" t="s">
        <v>881</v>
      </c>
      <c r="C10">
        <v>3273917575</v>
      </c>
      <c r="E10" t="s">
        <v>519</v>
      </c>
    </row>
    <row r="11" spans="1:5" x14ac:dyDescent="0.2">
      <c r="A11">
        <v>2204408055</v>
      </c>
      <c r="B11" t="s">
        <v>881</v>
      </c>
      <c r="C11">
        <v>3273931264</v>
      </c>
      <c r="E11" t="s">
        <v>599</v>
      </c>
    </row>
    <row r="12" spans="1:5" x14ac:dyDescent="0.2">
      <c r="A12">
        <v>2204408055</v>
      </c>
      <c r="B12" t="s">
        <v>881</v>
      </c>
      <c r="C12">
        <v>3273932536</v>
      </c>
      <c r="E12" t="s">
        <v>510</v>
      </c>
    </row>
    <row r="13" spans="1:5" x14ac:dyDescent="0.2">
      <c r="A13">
        <v>2204408055</v>
      </c>
      <c r="B13" t="s">
        <v>881</v>
      </c>
      <c r="C13">
        <v>3273932801</v>
      </c>
      <c r="E13" t="s">
        <v>137</v>
      </c>
    </row>
    <row r="14" spans="1:5" x14ac:dyDescent="0.2">
      <c r="A14">
        <v>2204408055</v>
      </c>
      <c r="B14" t="s">
        <v>881</v>
      </c>
      <c r="C14">
        <v>3273956226</v>
      </c>
      <c r="E14" t="s">
        <v>512</v>
      </c>
    </row>
    <row r="15" spans="1:5" x14ac:dyDescent="0.2">
      <c r="A15">
        <v>2204408055</v>
      </c>
      <c r="B15" t="s">
        <v>881</v>
      </c>
      <c r="C15">
        <v>3273956346</v>
      </c>
      <c r="E15" t="s">
        <v>598</v>
      </c>
    </row>
    <row r="16" spans="1:5" x14ac:dyDescent="0.2">
      <c r="A16">
        <v>2204408055</v>
      </c>
      <c r="B16" t="s">
        <v>881</v>
      </c>
      <c r="C16">
        <v>3273956433</v>
      </c>
      <c r="E16" t="s">
        <v>513</v>
      </c>
    </row>
    <row r="17" spans="1:5" x14ac:dyDescent="0.2">
      <c r="A17">
        <v>2204408055</v>
      </c>
      <c r="B17" t="s">
        <v>881</v>
      </c>
      <c r="C17">
        <v>3273956606</v>
      </c>
      <c r="E17" t="s">
        <v>142</v>
      </c>
    </row>
    <row r="18" spans="1:5" x14ac:dyDescent="0.2">
      <c r="A18">
        <v>2204408055</v>
      </c>
      <c r="B18" t="s">
        <v>881</v>
      </c>
      <c r="C18">
        <v>3273956947</v>
      </c>
      <c r="E18" t="s">
        <v>514</v>
      </c>
    </row>
    <row r="19" spans="1:5" x14ac:dyDescent="0.2">
      <c r="A19">
        <v>2204408055</v>
      </c>
      <c r="B19" t="s">
        <v>881</v>
      </c>
      <c r="C19">
        <v>3273957093</v>
      </c>
      <c r="E19" t="s">
        <v>145</v>
      </c>
    </row>
    <row r="20" spans="1:5" x14ac:dyDescent="0.2">
      <c r="A20">
        <v>2204408055</v>
      </c>
      <c r="B20" t="s">
        <v>881</v>
      </c>
      <c r="C20">
        <v>3273957152</v>
      </c>
      <c r="E20" t="s">
        <v>147</v>
      </c>
    </row>
    <row r="21" spans="1:5" x14ac:dyDescent="0.2">
      <c r="A21">
        <v>2204408055</v>
      </c>
      <c r="B21" t="s">
        <v>881</v>
      </c>
      <c r="C21">
        <v>3273957549</v>
      </c>
      <c r="E21" t="s">
        <v>155</v>
      </c>
    </row>
    <row r="22" spans="1:5" x14ac:dyDescent="0.2">
      <c r="A22">
        <v>2204408055</v>
      </c>
      <c r="B22" t="s">
        <v>881</v>
      </c>
      <c r="C22">
        <v>3273983860</v>
      </c>
      <c r="E22" t="s">
        <v>167</v>
      </c>
    </row>
    <row r="23" spans="1:5" x14ac:dyDescent="0.2">
      <c r="A23">
        <v>2204408055</v>
      </c>
      <c r="B23" t="s">
        <v>881</v>
      </c>
      <c r="C23">
        <v>3829324197</v>
      </c>
      <c r="E23" t="s">
        <v>587</v>
      </c>
    </row>
    <row r="24" spans="1:5" x14ac:dyDescent="0.2">
      <c r="A24">
        <v>2204408055</v>
      </c>
      <c r="B24" t="s">
        <v>881</v>
      </c>
      <c r="C24">
        <v>3829324200</v>
      </c>
      <c r="E24" t="s">
        <v>601</v>
      </c>
    </row>
    <row r="25" spans="1:5" x14ac:dyDescent="0.2">
      <c r="A25">
        <v>2204408055</v>
      </c>
      <c r="B25" t="s">
        <v>881</v>
      </c>
      <c r="C25">
        <v>3829324203</v>
      </c>
      <c r="E25" t="s">
        <v>588</v>
      </c>
    </row>
    <row r="26" spans="1:5" x14ac:dyDescent="0.2">
      <c r="A26">
        <v>2204408055</v>
      </c>
      <c r="B26" t="s">
        <v>881</v>
      </c>
      <c r="C26">
        <v>3829324206</v>
      </c>
      <c r="E26" t="s">
        <v>602</v>
      </c>
    </row>
    <row r="27" spans="1:5" x14ac:dyDescent="0.2">
      <c r="A27">
        <v>2204408055</v>
      </c>
      <c r="B27" t="s">
        <v>881</v>
      </c>
      <c r="C27">
        <v>3829324209</v>
      </c>
      <c r="E27" t="s">
        <v>589</v>
      </c>
    </row>
    <row r="28" spans="1:5" x14ac:dyDescent="0.2">
      <c r="A28">
        <v>2204408055</v>
      </c>
      <c r="B28" t="s">
        <v>881</v>
      </c>
      <c r="C28">
        <v>3829324212</v>
      </c>
      <c r="E28" t="s">
        <v>603</v>
      </c>
    </row>
    <row r="29" spans="1:5" x14ac:dyDescent="0.2">
      <c r="A29">
        <v>2204408055</v>
      </c>
      <c r="B29" t="s">
        <v>881</v>
      </c>
      <c r="C29">
        <v>3829324215</v>
      </c>
      <c r="E29" t="s">
        <v>590</v>
      </c>
    </row>
    <row r="30" spans="1:5" x14ac:dyDescent="0.2">
      <c r="A30">
        <v>2204408055</v>
      </c>
      <c r="B30" t="s">
        <v>881</v>
      </c>
      <c r="C30">
        <v>3829324218</v>
      </c>
      <c r="E30" t="s">
        <v>604</v>
      </c>
    </row>
    <row r="31" spans="1:5" x14ac:dyDescent="0.2">
      <c r="A31">
        <v>2204408055</v>
      </c>
      <c r="B31" t="s">
        <v>881</v>
      </c>
      <c r="C31">
        <v>3829324221</v>
      </c>
      <c r="E31" t="s">
        <v>591</v>
      </c>
    </row>
    <row r="32" spans="1:5" x14ac:dyDescent="0.2">
      <c r="A32">
        <v>2204408055</v>
      </c>
      <c r="B32" t="s">
        <v>881</v>
      </c>
      <c r="C32">
        <v>4009102021</v>
      </c>
      <c r="E32" t="s">
        <v>609</v>
      </c>
    </row>
    <row r="33" spans="1:5" x14ac:dyDescent="0.2">
      <c r="A33">
        <v>2204408055</v>
      </c>
      <c r="B33" t="s">
        <v>881</v>
      </c>
      <c r="C33">
        <v>4009102024</v>
      </c>
      <c r="E33" t="s">
        <v>597</v>
      </c>
    </row>
    <row r="34" spans="1:5" x14ac:dyDescent="0.2">
      <c r="A34">
        <v>2204408055</v>
      </c>
      <c r="B34" t="s">
        <v>881</v>
      </c>
      <c r="C34">
        <v>4009102028</v>
      </c>
      <c r="E34" t="s">
        <v>633</v>
      </c>
    </row>
    <row r="35" spans="1:5" x14ac:dyDescent="0.2">
      <c r="A35">
        <v>2204408055</v>
      </c>
      <c r="B35" t="s">
        <v>881</v>
      </c>
      <c r="C35">
        <v>4009102031</v>
      </c>
      <c r="E35" t="s">
        <v>632</v>
      </c>
    </row>
    <row r="36" spans="1:5" x14ac:dyDescent="0.2">
      <c r="A36">
        <v>2204408055</v>
      </c>
      <c r="B36" t="s">
        <v>881</v>
      </c>
      <c r="C36">
        <v>4009102034</v>
      </c>
      <c r="E36" t="s">
        <v>631</v>
      </c>
    </row>
    <row r="37" spans="1:5" x14ac:dyDescent="0.2">
      <c r="A37">
        <v>2204408055</v>
      </c>
      <c r="B37" t="s">
        <v>881</v>
      </c>
      <c r="C37">
        <v>4009102037</v>
      </c>
      <c r="E37" t="s">
        <v>630</v>
      </c>
    </row>
    <row r="38" spans="1:5" x14ac:dyDescent="0.2">
      <c r="A38">
        <v>2204408055</v>
      </c>
      <c r="B38" t="s">
        <v>881</v>
      </c>
      <c r="C38">
        <v>4009102040</v>
      </c>
      <c r="E38" t="s">
        <v>629</v>
      </c>
    </row>
    <row r="39" spans="1:5" x14ac:dyDescent="0.2">
      <c r="A39">
        <v>2204408055</v>
      </c>
      <c r="B39" t="s">
        <v>881</v>
      </c>
      <c r="C39">
        <v>4009102047</v>
      </c>
      <c r="E39" t="s">
        <v>628</v>
      </c>
    </row>
    <row r="40" spans="1:5" x14ac:dyDescent="0.2">
      <c r="A40">
        <v>2204408055</v>
      </c>
      <c r="B40" t="s">
        <v>881</v>
      </c>
      <c r="C40">
        <v>4009102051</v>
      </c>
      <c r="E40" t="s">
        <v>627</v>
      </c>
    </row>
    <row r="41" spans="1:5" x14ac:dyDescent="0.2">
      <c r="A41">
        <v>2204408055</v>
      </c>
      <c r="B41" t="s">
        <v>881</v>
      </c>
      <c r="C41">
        <v>4009102054</v>
      </c>
      <c r="E41" t="s">
        <v>626</v>
      </c>
    </row>
    <row r="42" spans="1:5" x14ac:dyDescent="0.2">
      <c r="A42">
        <v>2204408055</v>
      </c>
      <c r="B42" t="s">
        <v>881</v>
      </c>
      <c r="C42">
        <v>4024137558</v>
      </c>
      <c r="E42" t="s">
        <v>652</v>
      </c>
    </row>
    <row r="43" spans="1:5" x14ac:dyDescent="0.2">
      <c r="A43">
        <v>2204408055</v>
      </c>
      <c r="B43" t="s">
        <v>881</v>
      </c>
      <c r="C43">
        <v>4024137565</v>
      </c>
      <c r="E43" t="s">
        <v>649</v>
      </c>
    </row>
    <row r="44" spans="1:5" x14ac:dyDescent="0.2">
      <c r="A44">
        <v>2204408055</v>
      </c>
      <c r="B44" t="s">
        <v>881</v>
      </c>
      <c r="C44">
        <v>4036678480</v>
      </c>
      <c r="E44" t="s">
        <v>509</v>
      </c>
    </row>
    <row r="45" spans="1:5" x14ac:dyDescent="0.2">
      <c r="A45">
        <v>2204408055</v>
      </c>
      <c r="B45" t="s">
        <v>881</v>
      </c>
      <c r="C45">
        <v>4057844024</v>
      </c>
      <c r="E45" t="s">
        <v>686</v>
      </c>
    </row>
    <row r="46" spans="1:5" x14ac:dyDescent="0.2">
      <c r="A46">
        <v>2204408055</v>
      </c>
      <c r="B46" t="s">
        <v>881</v>
      </c>
      <c r="C46">
        <v>4057844496</v>
      </c>
      <c r="E46" t="s">
        <v>685</v>
      </c>
    </row>
    <row r="47" spans="1:5" x14ac:dyDescent="0.2">
      <c r="A47">
        <v>2204408055</v>
      </c>
      <c r="B47" t="s">
        <v>881</v>
      </c>
      <c r="C47">
        <v>4057844870</v>
      </c>
      <c r="E47" t="s">
        <v>662</v>
      </c>
    </row>
    <row r="48" spans="1:5" x14ac:dyDescent="0.2">
      <c r="A48">
        <v>2204408055</v>
      </c>
      <c r="B48" t="s">
        <v>881</v>
      </c>
      <c r="C48">
        <v>4057845166</v>
      </c>
      <c r="E48" t="s">
        <v>661</v>
      </c>
    </row>
    <row r="49" spans="1:5" x14ac:dyDescent="0.2">
      <c r="A49">
        <v>2204408055</v>
      </c>
      <c r="B49" t="s">
        <v>881</v>
      </c>
      <c r="C49">
        <v>4081179548</v>
      </c>
      <c r="E49" t="s">
        <v>657</v>
      </c>
    </row>
    <row r="50" spans="1:5" x14ac:dyDescent="0.2">
      <c r="A50">
        <v>2204408055</v>
      </c>
      <c r="B50" t="s">
        <v>881</v>
      </c>
      <c r="C50">
        <v>4089778466</v>
      </c>
      <c r="E50" t="s">
        <v>521</v>
      </c>
    </row>
    <row r="51" spans="1:5" x14ac:dyDescent="0.2">
      <c r="A51">
        <v>2204408055</v>
      </c>
      <c r="B51" t="s">
        <v>881</v>
      </c>
      <c r="C51">
        <v>4110410459</v>
      </c>
      <c r="E51" t="s">
        <v>667</v>
      </c>
    </row>
    <row r="52" spans="1:5" x14ac:dyDescent="0.2">
      <c r="A52">
        <v>2204408055</v>
      </c>
      <c r="B52" t="s">
        <v>881</v>
      </c>
      <c r="C52">
        <v>4110412519</v>
      </c>
      <c r="E52" t="s">
        <v>688</v>
      </c>
    </row>
    <row r="53" spans="1:5" x14ac:dyDescent="0.2">
      <c r="A53">
        <v>2204408055</v>
      </c>
      <c r="B53" t="s">
        <v>881</v>
      </c>
      <c r="C53">
        <v>4110412866</v>
      </c>
      <c r="E53" t="s">
        <v>669</v>
      </c>
    </row>
    <row r="54" spans="1:5" x14ac:dyDescent="0.2">
      <c r="A54">
        <v>2204408055</v>
      </c>
      <c r="B54" t="s">
        <v>881</v>
      </c>
      <c r="C54">
        <v>4117539052</v>
      </c>
      <c r="E54" t="s">
        <v>671</v>
      </c>
    </row>
    <row r="55" spans="1:5" x14ac:dyDescent="0.2">
      <c r="A55">
        <v>2204408055</v>
      </c>
      <c r="B55" t="s">
        <v>881</v>
      </c>
      <c r="C55">
        <v>4117539961</v>
      </c>
      <c r="E55" t="s">
        <v>689</v>
      </c>
    </row>
    <row r="56" spans="1:5" x14ac:dyDescent="0.2">
      <c r="A56">
        <v>2204408055</v>
      </c>
      <c r="B56" t="s">
        <v>881</v>
      </c>
      <c r="C56">
        <v>4117540436</v>
      </c>
      <c r="E56" t="s">
        <v>673</v>
      </c>
    </row>
    <row r="57" spans="1:5" x14ac:dyDescent="0.2">
      <c r="A57">
        <v>2204408055</v>
      </c>
      <c r="B57" t="s">
        <v>881</v>
      </c>
      <c r="C57">
        <v>4117540648</v>
      </c>
      <c r="E57" t="s">
        <v>711</v>
      </c>
    </row>
    <row r="58" spans="1:5" x14ac:dyDescent="0.2">
      <c r="A58">
        <v>2204408055</v>
      </c>
      <c r="B58" t="s">
        <v>881</v>
      </c>
      <c r="C58">
        <v>4165309583</v>
      </c>
      <c r="E58" t="s">
        <v>690</v>
      </c>
    </row>
    <row r="59" spans="1:5" x14ac:dyDescent="0.2">
      <c r="A59">
        <v>2204408055</v>
      </c>
      <c r="B59" t="s">
        <v>881</v>
      </c>
      <c r="C59">
        <v>4176778766</v>
      </c>
      <c r="E59" t="s">
        <v>691</v>
      </c>
    </row>
    <row r="60" spans="1:5" x14ac:dyDescent="0.2">
      <c r="A60">
        <v>2204408055</v>
      </c>
      <c r="B60" t="s">
        <v>881</v>
      </c>
      <c r="C60">
        <v>4268227670</v>
      </c>
      <c r="E60" t="s">
        <v>725</v>
      </c>
    </row>
    <row r="61" spans="1:5" x14ac:dyDescent="0.2">
      <c r="A61">
        <v>2204408055</v>
      </c>
      <c r="B61" t="s">
        <v>881</v>
      </c>
      <c r="C61">
        <v>4268227673</v>
      </c>
      <c r="E61" t="s">
        <v>724</v>
      </c>
    </row>
    <row r="62" spans="1:5" x14ac:dyDescent="0.2">
      <c r="A62">
        <v>2204408055</v>
      </c>
      <c r="B62" t="s">
        <v>881</v>
      </c>
      <c r="C62">
        <v>4280391494</v>
      </c>
      <c r="E62" t="s">
        <v>722</v>
      </c>
    </row>
    <row r="63" spans="1:5" x14ac:dyDescent="0.2">
      <c r="A63">
        <v>2204408055</v>
      </c>
      <c r="B63" t="s">
        <v>881</v>
      </c>
      <c r="C63">
        <v>4280391497</v>
      </c>
      <c r="E63" t="s">
        <v>721</v>
      </c>
    </row>
    <row r="64" spans="1:5" x14ac:dyDescent="0.2">
      <c r="A64">
        <v>2204408055</v>
      </c>
      <c r="B64" t="s">
        <v>881</v>
      </c>
      <c r="C64">
        <v>4280391500</v>
      </c>
      <c r="E64" t="s">
        <v>720</v>
      </c>
    </row>
    <row r="65" spans="1:5" x14ac:dyDescent="0.2">
      <c r="A65">
        <v>2204408055</v>
      </c>
      <c r="B65" t="s">
        <v>881</v>
      </c>
      <c r="C65">
        <v>4309865078</v>
      </c>
      <c r="E65" t="s">
        <v>742</v>
      </c>
    </row>
    <row r="66" spans="1:5" x14ac:dyDescent="0.2">
      <c r="A66">
        <v>2204408055</v>
      </c>
      <c r="B66" t="s">
        <v>881</v>
      </c>
      <c r="C66">
        <v>4309865095</v>
      </c>
      <c r="E66" t="s">
        <v>743</v>
      </c>
    </row>
    <row r="67" spans="1:5" x14ac:dyDescent="0.2">
      <c r="A67">
        <v>2204408055</v>
      </c>
      <c r="B67" t="s">
        <v>881</v>
      </c>
      <c r="C67">
        <v>4309865101</v>
      </c>
      <c r="E67" t="s">
        <v>744</v>
      </c>
    </row>
    <row r="68" spans="1:5" x14ac:dyDescent="0.2">
      <c r="A68">
        <v>2204408055</v>
      </c>
      <c r="B68" t="s">
        <v>881</v>
      </c>
      <c r="C68">
        <v>4387242309</v>
      </c>
      <c r="E68" t="s">
        <v>727</v>
      </c>
    </row>
    <row r="69" spans="1:5" x14ac:dyDescent="0.2">
      <c r="A69">
        <v>2204408055</v>
      </c>
      <c r="B69" t="s">
        <v>881</v>
      </c>
      <c r="C69">
        <v>4387242314</v>
      </c>
      <c r="E69" t="s">
        <v>747</v>
      </c>
    </row>
    <row r="70" spans="1:5" x14ac:dyDescent="0.2">
      <c r="A70">
        <v>2204408055</v>
      </c>
      <c r="B70" t="s">
        <v>881</v>
      </c>
      <c r="C70">
        <v>4387242320</v>
      </c>
      <c r="E70" t="s">
        <v>728</v>
      </c>
    </row>
    <row r="71" spans="1:5" x14ac:dyDescent="0.2">
      <c r="A71">
        <v>2204408055</v>
      </c>
      <c r="B71" t="s">
        <v>881</v>
      </c>
      <c r="C71">
        <v>4461120970</v>
      </c>
      <c r="E71" t="s">
        <v>778</v>
      </c>
    </row>
    <row r="72" spans="1:5" x14ac:dyDescent="0.2">
      <c r="A72">
        <v>2204408055</v>
      </c>
      <c r="B72" t="s">
        <v>881</v>
      </c>
      <c r="C72">
        <v>4503480823</v>
      </c>
      <c r="E72" t="s">
        <v>818</v>
      </c>
    </row>
    <row r="73" spans="1:5" x14ac:dyDescent="0.2">
      <c r="A73">
        <v>2204408055</v>
      </c>
      <c r="B73" t="s">
        <v>881</v>
      </c>
      <c r="C73">
        <v>4503480826</v>
      </c>
      <c r="E73" t="s">
        <v>817</v>
      </c>
    </row>
    <row r="74" spans="1:5" x14ac:dyDescent="0.2">
      <c r="A74">
        <v>2204408055</v>
      </c>
      <c r="B74" t="s">
        <v>881</v>
      </c>
      <c r="C74">
        <v>4543598583</v>
      </c>
      <c r="E74" t="s">
        <v>803</v>
      </c>
    </row>
    <row r="75" spans="1:5" x14ac:dyDescent="0.2">
      <c r="A75">
        <v>2204408055</v>
      </c>
      <c r="B75" t="s">
        <v>881</v>
      </c>
      <c r="C75">
        <v>4689850529</v>
      </c>
      <c r="E75" t="s">
        <v>870</v>
      </c>
    </row>
    <row r="76" spans="1:5" x14ac:dyDescent="0.2">
      <c r="A76">
        <v>2204408055</v>
      </c>
      <c r="B76" t="s">
        <v>881</v>
      </c>
      <c r="C76">
        <v>4689850556</v>
      </c>
      <c r="E76" t="s">
        <v>869</v>
      </c>
    </row>
    <row r="77" spans="1:5" x14ac:dyDescent="0.2">
      <c r="A77">
        <v>2204408493</v>
      </c>
      <c r="B77" t="s">
        <v>882</v>
      </c>
      <c r="C77">
        <v>3268935984</v>
      </c>
      <c r="E77" t="s">
        <v>505</v>
      </c>
    </row>
    <row r="78" spans="1:5" x14ac:dyDescent="0.2">
      <c r="A78">
        <v>2204408493</v>
      </c>
      <c r="B78" t="s">
        <v>882</v>
      </c>
      <c r="C78">
        <v>3268967402</v>
      </c>
      <c r="E78" t="s">
        <v>500</v>
      </c>
    </row>
    <row r="79" spans="1:5" x14ac:dyDescent="0.2">
      <c r="A79">
        <v>2204408493</v>
      </c>
      <c r="B79" t="s">
        <v>882</v>
      </c>
      <c r="C79">
        <v>2204415417</v>
      </c>
      <c r="E79" t="s">
        <v>526</v>
      </c>
    </row>
    <row r="80" spans="1:5" x14ac:dyDescent="0.2">
      <c r="A80">
        <v>2204408493</v>
      </c>
      <c r="B80" t="s">
        <v>882</v>
      </c>
      <c r="C80">
        <v>2206226286</v>
      </c>
      <c r="E80" t="s">
        <v>525</v>
      </c>
    </row>
    <row r="81" spans="1:5" x14ac:dyDescent="0.2">
      <c r="A81">
        <v>2204408493</v>
      </c>
      <c r="B81" t="s">
        <v>882</v>
      </c>
      <c r="C81">
        <v>2206226352</v>
      </c>
      <c r="E81" t="s">
        <v>524</v>
      </c>
    </row>
    <row r="82" spans="1:5" x14ac:dyDescent="0.2">
      <c r="A82">
        <v>2204408493</v>
      </c>
      <c r="B82" t="s">
        <v>882</v>
      </c>
      <c r="C82">
        <v>2206318544</v>
      </c>
      <c r="E82" t="s">
        <v>532</v>
      </c>
    </row>
    <row r="83" spans="1:5" x14ac:dyDescent="0.2">
      <c r="A83">
        <v>2204408493</v>
      </c>
      <c r="B83" t="s">
        <v>882</v>
      </c>
      <c r="C83">
        <v>2206329082</v>
      </c>
      <c r="E83" t="s">
        <v>546</v>
      </c>
    </row>
    <row r="84" spans="1:5" x14ac:dyDescent="0.2">
      <c r="A84">
        <v>2204408493</v>
      </c>
      <c r="B84" t="s">
        <v>882</v>
      </c>
      <c r="C84">
        <v>2206710270</v>
      </c>
      <c r="E84" t="s">
        <v>536</v>
      </c>
    </row>
    <row r="85" spans="1:5" x14ac:dyDescent="0.2">
      <c r="A85">
        <v>2204408493</v>
      </c>
      <c r="B85" t="s">
        <v>882</v>
      </c>
      <c r="C85">
        <v>2224355171</v>
      </c>
      <c r="E85" t="s">
        <v>305</v>
      </c>
    </row>
    <row r="86" spans="1:5" x14ac:dyDescent="0.2">
      <c r="A86">
        <v>2204408493</v>
      </c>
      <c r="B86" t="s">
        <v>882</v>
      </c>
      <c r="C86">
        <v>3268867849</v>
      </c>
      <c r="E86" t="s">
        <v>561</v>
      </c>
    </row>
    <row r="87" spans="1:5" x14ac:dyDescent="0.2">
      <c r="A87">
        <v>2204408493</v>
      </c>
      <c r="B87" t="s">
        <v>882</v>
      </c>
      <c r="C87">
        <v>3268883623</v>
      </c>
      <c r="E87" t="s">
        <v>565</v>
      </c>
    </row>
    <row r="88" spans="1:5" x14ac:dyDescent="0.2">
      <c r="A88">
        <v>2204408493</v>
      </c>
      <c r="B88" t="s">
        <v>882</v>
      </c>
      <c r="C88">
        <v>4007836968</v>
      </c>
      <c r="E88" t="s">
        <v>608</v>
      </c>
    </row>
    <row r="89" spans="1:5" x14ac:dyDescent="0.2">
      <c r="A89">
        <v>2204408493</v>
      </c>
      <c r="B89" t="s">
        <v>882</v>
      </c>
      <c r="C89">
        <v>4007836975</v>
      </c>
      <c r="E89" t="s">
        <v>596</v>
      </c>
    </row>
    <row r="90" spans="1:5" x14ac:dyDescent="0.2">
      <c r="A90">
        <v>2204408493</v>
      </c>
      <c r="B90" t="s">
        <v>882</v>
      </c>
      <c r="C90">
        <v>4036677024</v>
      </c>
      <c r="E90" t="s">
        <v>54</v>
      </c>
    </row>
    <row r="91" spans="1:5" x14ac:dyDescent="0.2">
      <c r="A91">
        <v>2204408493</v>
      </c>
      <c r="B91" t="s">
        <v>882</v>
      </c>
      <c r="C91">
        <v>4066949681</v>
      </c>
      <c r="E91" t="s">
        <v>653</v>
      </c>
    </row>
    <row r="92" spans="1:5" x14ac:dyDescent="0.2">
      <c r="A92">
        <v>2204408493</v>
      </c>
      <c r="B92" t="s">
        <v>882</v>
      </c>
      <c r="C92">
        <v>4165300899</v>
      </c>
      <c r="E92" t="s">
        <v>504</v>
      </c>
    </row>
    <row r="93" spans="1:5" x14ac:dyDescent="0.2">
      <c r="A93">
        <v>2204408493</v>
      </c>
      <c r="B93" t="s">
        <v>882</v>
      </c>
      <c r="C93">
        <v>4253046350</v>
      </c>
      <c r="E93" t="s">
        <v>729</v>
      </c>
    </row>
    <row r="94" spans="1:5" x14ac:dyDescent="0.2">
      <c r="A94">
        <v>2204408683</v>
      </c>
      <c r="B94" t="s">
        <v>883</v>
      </c>
      <c r="C94">
        <v>3268936692</v>
      </c>
      <c r="E94" t="s">
        <v>502</v>
      </c>
    </row>
    <row r="95" spans="1:5" x14ac:dyDescent="0.2">
      <c r="A95">
        <v>2204408683</v>
      </c>
      <c r="B95" t="s">
        <v>883</v>
      </c>
      <c r="C95">
        <v>3268956246</v>
      </c>
      <c r="E95" t="s">
        <v>76</v>
      </c>
    </row>
    <row r="96" spans="1:5" x14ac:dyDescent="0.2">
      <c r="A96">
        <v>2204408683</v>
      </c>
      <c r="B96" t="s">
        <v>883</v>
      </c>
      <c r="C96">
        <v>3268971656</v>
      </c>
      <c r="E96" t="s">
        <v>501</v>
      </c>
    </row>
    <row r="97" spans="1:5" x14ac:dyDescent="0.2">
      <c r="A97">
        <v>2204408879</v>
      </c>
      <c r="B97" t="s">
        <v>884</v>
      </c>
      <c r="C97">
        <v>2224354658</v>
      </c>
      <c r="E97" t="s">
        <v>559</v>
      </c>
    </row>
    <row r="98" spans="1:5" x14ac:dyDescent="0.2">
      <c r="A98">
        <v>2204408879</v>
      </c>
      <c r="B98" t="s">
        <v>884</v>
      </c>
      <c r="C98">
        <v>2224355171</v>
      </c>
      <c r="E98" t="s">
        <v>305</v>
      </c>
    </row>
    <row r="99" spans="1:5" x14ac:dyDescent="0.2">
      <c r="A99">
        <v>2204408879</v>
      </c>
      <c r="B99" t="s">
        <v>884</v>
      </c>
      <c r="C99">
        <v>2212668510</v>
      </c>
      <c r="E99" t="s">
        <v>885</v>
      </c>
    </row>
    <row r="100" spans="1:5" x14ac:dyDescent="0.2">
      <c r="A100">
        <v>2204408879</v>
      </c>
      <c r="B100" t="s">
        <v>884</v>
      </c>
      <c r="C100">
        <v>3268859330</v>
      </c>
      <c r="E100" t="s">
        <v>13</v>
      </c>
    </row>
    <row r="101" spans="1:5" x14ac:dyDescent="0.2">
      <c r="A101">
        <v>2204408879</v>
      </c>
      <c r="B101" t="s">
        <v>884</v>
      </c>
      <c r="C101">
        <v>3268859330</v>
      </c>
      <c r="E101" t="s">
        <v>13</v>
      </c>
    </row>
    <row r="102" spans="1:5" x14ac:dyDescent="0.2">
      <c r="A102">
        <v>2204408879</v>
      </c>
      <c r="B102" t="s">
        <v>884</v>
      </c>
      <c r="C102">
        <v>3268882343</v>
      </c>
      <c r="E102" t="s">
        <v>563</v>
      </c>
    </row>
    <row r="103" spans="1:5" x14ac:dyDescent="0.2">
      <c r="A103">
        <v>2204408879</v>
      </c>
      <c r="B103" t="s">
        <v>884</v>
      </c>
      <c r="C103">
        <v>3268882518</v>
      </c>
      <c r="E103" t="s">
        <v>558</v>
      </c>
    </row>
    <row r="104" spans="1:5" x14ac:dyDescent="0.2">
      <c r="A104">
        <v>2204408879</v>
      </c>
      <c r="B104" t="s">
        <v>884</v>
      </c>
      <c r="C104">
        <v>3268882518</v>
      </c>
      <c r="E104" t="s">
        <v>558</v>
      </c>
    </row>
    <row r="105" spans="1:5" x14ac:dyDescent="0.2">
      <c r="A105">
        <v>2204408879</v>
      </c>
      <c r="B105" t="s">
        <v>884</v>
      </c>
      <c r="C105">
        <v>3268883623</v>
      </c>
      <c r="E105" t="s">
        <v>565</v>
      </c>
    </row>
    <row r="106" spans="1:5" x14ac:dyDescent="0.2">
      <c r="A106">
        <v>2204408879</v>
      </c>
      <c r="B106" t="s">
        <v>884</v>
      </c>
      <c r="C106">
        <v>3268957646</v>
      </c>
      <c r="E106" t="s">
        <v>301</v>
      </c>
    </row>
    <row r="107" spans="1:5" x14ac:dyDescent="0.2">
      <c r="A107">
        <v>2204408879</v>
      </c>
      <c r="B107" t="s">
        <v>884</v>
      </c>
      <c r="C107">
        <v>3268959351</v>
      </c>
      <c r="E107" t="s">
        <v>208</v>
      </c>
    </row>
    <row r="108" spans="1:5" x14ac:dyDescent="0.2">
      <c r="A108">
        <v>2204408879</v>
      </c>
      <c r="B108" t="s">
        <v>884</v>
      </c>
      <c r="C108">
        <v>3268959543</v>
      </c>
      <c r="E108" t="s">
        <v>575</v>
      </c>
    </row>
    <row r="109" spans="1:5" x14ac:dyDescent="0.2">
      <c r="A109">
        <v>2204408879</v>
      </c>
      <c r="B109" t="s">
        <v>884</v>
      </c>
      <c r="C109">
        <v>3268959672</v>
      </c>
      <c r="E109" t="s">
        <v>57</v>
      </c>
    </row>
    <row r="110" spans="1:5" x14ac:dyDescent="0.2">
      <c r="A110">
        <v>2204408879</v>
      </c>
      <c r="B110" t="s">
        <v>884</v>
      </c>
      <c r="C110">
        <v>4038220638</v>
      </c>
      <c r="E110" t="s">
        <v>650</v>
      </c>
    </row>
    <row r="111" spans="1:5" x14ac:dyDescent="0.2">
      <c r="A111">
        <v>2204408879</v>
      </c>
      <c r="B111" t="s">
        <v>884</v>
      </c>
      <c r="C111">
        <v>4038220641</v>
      </c>
      <c r="E111" t="s">
        <v>639</v>
      </c>
    </row>
    <row r="112" spans="1:5" x14ac:dyDescent="0.2">
      <c r="A112">
        <v>2204408879</v>
      </c>
      <c r="B112" t="s">
        <v>884</v>
      </c>
      <c r="C112">
        <v>4038220644</v>
      </c>
      <c r="E112" t="s">
        <v>678</v>
      </c>
    </row>
    <row r="113" spans="1:5" x14ac:dyDescent="0.2">
      <c r="A113">
        <v>2204408879</v>
      </c>
      <c r="B113" t="s">
        <v>884</v>
      </c>
      <c r="C113">
        <v>4038220647</v>
      </c>
      <c r="E113" t="s">
        <v>677</v>
      </c>
    </row>
    <row r="114" spans="1:5" x14ac:dyDescent="0.2">
      <c r="A114">
        <v>2204408879</v>
      </c>
      <c r="B114" t="s">
        <v>884</v>
      </c>
      <c r="C114">
        <v>4038220650</v>
      </c>
      <c r="E114" t="s">
        <v>676</v>
      </c>
    </row>
    <row r="115" spans="1:5" x14ac:dyDescent="0.2">
      <c r="A115">
        <v>2204408879</v>
      </c>
      <c r="B115" t="s">
        <v>884</v>
      </c>
      <c r="C115">
        <v>4042191519</v>
      </c>
      <c r="E115" t="s">
        <v>675</v>
      </c>
    </row>
    <row r="116" spans="1:5" x14ac:dyDescent="0.2">
      <c r="A116">
        <v>2204408879</v>
      </c>
      <c r="B116" t="s">
        <v>884</v>
      </c>
      <c r="C116">
        <v>4165298937</v>
      </c>
      <c r="E116" t="s">
        <v>214</v>
      </c>
    </row>
    <row r="117" spans="1:5" x14ac:dyDescent="0.2">
      <c r="A117">
        <v>2204408879</v>
      </c>
      <c r="B117" t="s">
        <v>884</v>
      </c>
      <c r="C117">
        <v>4653925964</v>
      </c>
      <c r="E117" t="s">
        <v>853</v>
      </c>
    </row>
    <row r="118" spans="1:5" x14ac:dyDescent="0.2">
      <c r="A118">
        <v>2204408879</v>
      </c>
      <c r="B118" t="s">
        <v>884</v>
      </c>
      <c r="C118">
        <v>4716018224</v>
      </c>
      <c r="E118" t="s">
        <v>843</v>
      </c>
    </row>
    <row r="119" spans="1:5" x14ac:dyDescent="0.2">
      <c r="A119">
        <v>2204408879</v>
      </c>
      <c r="B119" t="s">
        <v>884</v>
      </c>
      <c r="C119">
        <v>4716018224</v>
      </c>
      <c r="E119" t="s">
        <v>843</v>
      </c>
    </row>
    <row r="120" spans="1:5" x14ac:dyDescent="0.2">
      <c r="A120">
        <v>2204409082</v>
      </c>
      <c r="B120" t="s">
        <v>886</v>
      </c>
      <c r="C120">
        <v>2206232694</v>
      </c>
      <c r="E120" t="s">
        <v>528</v>
      </c>
    </row>
    <row r="121" spans="1:5" x14ac:dyDescent="0.2">
      <c r="A121">
        <v>2204409082</v>
      </c>
      <c r="B121" t="s">
        <v>886</v>
      </c>
      <c r="C121">
        <v>2206293499</v>
      </c>
      <c r="E121" t="s">
        <v>531</v>
      </c>
    </row>
    <row r="122" spans="1:5" x14ac:dyDescent="0.2">
      <c r="A122">
        <v>2204409082</v>
      </c>
      <c r="B122" t="s">
        <v>886</v>
      </c>
      <c r="C122">
        <v>2206291448</v>
      </c>
      <c r="E122" t="s">
        <v>529</v>
      </c>
    </row>
    <row r="123" spans="1:5" x14ac:dyDescent="0.2">
      <c r="A123">
        <v>2204409082</v>
      </c>
      <c r="B123" t="s">
        <v>886</v>
      </c>
      <c r="C123">
        <v>2224925695</v>
      </c>
      <c r="E123" s="36" t="s">
        <v>556</v>
      </c>
    </row>
    <row r="124" spans="1:5" x14ac:dyDescent="0.2">
      <c r="A124">
        <v>2204409082</v>
      </c>
      <c r="B124" t="s">
        <v>886</v>
      </c>
      <c r="C124">
        <v>4635076345</v>
      </c>
      <c r="E124" t="s">
        <v>858</v>
      </c>
    </row>
    <row r="125" spans="1:5" x14ac:dyDescent="0.2">
      <c r="A125">
        <v>2204409082</v>
      </c>
      <c r="B125" t="s">
        <v>886</v>
      </c>
      <c r="C125">
        <v>4635076801</v>
      </c>
      <c r="E125" t="s">
        <v>857</v>
      </c>
    </row>
    <row r="126" spans="1:5" x14ac:dyDescent="0.2">
      <c r="A126">
        <v>2204409082</v>
      </c>
      <c r="B126" t="s">
        <v>886</v>
      </c>
      <c r="C126">
        <v>4635077743</v>
      </c>
      <c r="E126" t="s">
        <v>856</v>
      </c>
    </row>
    <row r="127" spans="1:5" x14ac:dyDescent="0.2">
      <c r="A127">
        <v>2204409082</v>
      </c>
      <c r="B127" t="s">
        <v>886</v>
      </c>
      <c r="C127">
        <v>4635078283</v>
      </c>
      <c r="E127" t="s">
        <v>855</v>
      </c>
    </row>
    <row r="128" spans="1:5" x14ac:dyDescent="0.2">
      <c r="A128">
        <v>2204409082</v>
      </c>
      <c r="B128" t="s">
        <v>886</v>
      </c>
      <c r="C128">
        <v>3268859330</v>
      </c>
      <c r="E128" t="s">
        <v>13</v>
      </c>
    </row>
    <row r="129" spans="1:5" x14ac:dyDescent="0.2">
      <c r="A129">
        <v>2204409082</v>
      </c>
      <c r="B129" t="s">
        <v>886</v>
      </c>
      <c r="C129">
        <v>3268870437</v>
      </c>
      <c r="E129" s="36" t="s">
        <v>557</v>
      </c>
    </row>
    <row r="130" spans="1:5" x14ac:dyDescent="0.2">
      <c r="A130">
        <v>2204409082</v>
      </c>
      <c r="B130" t="s">
        <v>886</v>
      </c>
      <c r="C130">
        <v>3268870713</v>
      </c>
      <c r="E130" s="44" t="s">
        <v>562</v>
      </c>
    </row>
    <row r="131" spans="1:5" x14ac:dyDescent="0.2">
      <c r="A131">
        <v>2204409082</v>
      </c>
      <c r="B131" t="s">
        <v>886</v>
      </c>
      <c r="C131">
        <v>3268882683</v>
      </c>
      <c r="E131" s="36" t="s">
        <v>564</v>
      </c>
    </row>
    <row r="132" spans="1:5" x14ac:dyDescent="0.2">
      <c r="A132">
        <v>2204409082</v>
      </c>
      <c r="B132" t="s">
        <v>886</v>
      </c>
      <c r="C132">
        <v>3268883011</v>
      </c>
      <c r="E132" t="s">
        <v>5</v>
      </c>
    </row>
    <row r="133" spans="1:5" x14ac:dyDescent="0.2">
      <c r="A133">
        <v>2204409082</v>
      </c>
      <c r="B133" t="s">
        <v>886</v>
      </c>
      <c r="C133">
        <v>3268883325</v>
      </c>
      <c r="E133" t="s">
        <v>6</v>
      </c>
    </row>
    <row r="134" spans="1:5" x14ac:dyDescent="0.2">
      <c r="A134">
        <v>2204409082</v>
      </c>
      <c r="B134" t="s">
        <v>886</v>
      </c>
      <c r="C134">
        <v>3268883910</v>
      </c>
      <c r="E134" t="s">
        <v>483</v>
      </c>
    </row>
    <row r="135" spans="1:5" x14ac:dyDescent="0.2">
      <c r="A135">
        <v>2204409082</v>
      </c>
      <c r="B135" t="s">
        <v>886</v>
      </c>
      <c r="C135">
        <v>3268904557</v>
      </c>
      <c r="E135" t="s">
        <v>16</v>
      </c>
    </row>
    <row r="136" spans="1:5" x14ac:dyDescent="0.2">
      <c r="A136">
        <v>2204409082</v>
      </c>
      <c r="B136" t="s">
        <v>886</v>
      </c>
      <c r="C136">
        <v>3268904823</v>
      </c>
      <c r="E136" t="s">
        <v>9</v>
      </c>
    </row>
    <row r="137" spans="1:5" x14ac:dyDescent="0.2">
      <c r="A137">
        <v>2204409082</v>
      </c>
      <c r="B137" t="s">
        <v>886</v>
      </c>
      <c r="C137">
        <v>3268933847</v>
      </c>
      <c r="E137" t="s">
        <v>10</v>
      </c>
    </row>
    <row r="138" spans="1:5" x14ac:dyDescent="0.2">
      <c r="A138">
        <v>2204409082</v>
      </c>
      <c r="B138" t="s">
        <v>886</v>
      </c>
      <c r="C138">
        <v>3268934062</v>
      </c>
      <c r="E138" t="s">
        <v>11</v>
      </c>
    </row>
    <row r="139" spans="1:5" x14ac:dyDescent="0.2">
      <c r="A139">
        <v>2204409082</v>
      </c>
      <c r="B139" t="s">
        <v>886</v>
      </c>
      <c r="C139">
        <v>3268934222</v>
      </c>
      <c r="E139" t="s">
        <v>45</v>
      </c>
    </row>
    <row r="140" spans="1:5" x14ac:dyDescent="0.2">
      <c r="A140">
        <v>2204409082</v>
      </c>
      <c r="B140" t="s">
        <v>886</v>
      </c>
      <c r="C140">
        <v>3268936298</v>
      </c>
      <c r="E140" s="36" t="s">
        <v>32</v>
      </c>
    </row>
    <row r="141" spans="1:5" x14ac:dyDescent="0.2">
      <c r="A141">
        <v>2204409082</v>
      </c>
      <c r="B141" t="s">
        <v>886</v>
      </c>
      <c r="C141">
        <v>3268936488</v>
      </c>
      <c r="E141" s="36" t="s">
        <v>29</v>
      </c>
    </row>
    <row r="142" spans="1:5" x14ac:dyDescent="0.2">
      <c r="A142">
        <v>2204409082</v>
      </c>
      <c r="B142" t="s">
        <v>886</v>
      </c>
      <c r="C142">
        <v>3268936884</v>
      </c>
      <c r="E142" t="s">
        <v>39</v>
      </c>
    </row>
    <row r="143" spans="1:5" x14ac:dyDescent="0.2">
      <c r="A143">
        <v>2204409082</v>
      </c>
      <c r="B143" t="s">
        <v>886</v>
      </c>
      <c r="C143">
        <v>3268938307</v>
      </c>
      <c r="E143" s="36" t="s">
        <v>44</v>
      </c>
    </row>
    <row r="144" spans="1:5" x14ac:dyDescent="0.2">
      <c r="A144">
        <v>2204409082</v>
      </c>
      <c r="B144" t="s">
        <v>886</v>
      </c>
      <c r="C144">
        <v>3268938595</v>
      </c>
      <c r="E144" t="s">
        <v>300</v>
      </c>
    </row>
    <row r="145" spans="1:5" x14ac:dyDescent="0.2">
      <c r="A145">
        <v>2204409082</v>
      </c>
      <c r="B145" t="s">
        <v>886</v>
      </c>
      <c r="C145">
        <v>3268949517</v>
      </c>
      <c r="E145" t="s">
        <v>484</v>
      </c>
    </row>
    <row r="146" spans="1:5" x14ac:dyDescent="0.2">
      <c r="A146">
        <v>2204409082</v>
      </c>
      <c r="B146" t="s">
        <v>886</v>
      </c>
      <c r="C146">
        <v>3268952432</v>
      </c>
      <c r="E146" t="s">
        <v>12</v>
      </c>
    </row>
    <row r="147" spans="1:5" x14ac:dyDescent="0.2">
      <c r="A147">
        <v>2204409082</v>
      </c>
      <c r="B147" t="s">
        <v>886</v>
      </c>
      <c r="C147">
        <v>3268953450</v>
      </c>
      <c r="E147" s="36" t="s">
        <v>14</v>
      </c>
    </row>
    <row r="148" spans="1:5" x14ac:dyDescent="0.2">
      <c r="A148">
        <v>2204409082</v>
      </c>
      <c r="B148" t="s">
        <v>886</v>
      </c>
      <c r="C148">
        <v>3268953852</v>
      </c>
      <c r="E148" s="36" t="s">
        <v>38</v>
      </c>
    </row>
    <row r="149" spans="1:5" x14ac:dyDescent="0.2">
      <c r="A149">
        <v>2204409082</v>
      </c>
      <c r="B149" t="s">
        <v>886</v>
      </c>
      <c r="C149">
        <v>3268955471</v>
      </c>
      <c r="E149" t="s">
        <v>30</v>
      </c>
    </row>
    <row r="150" spans="1:5" x14ac:dyDescent="0.2">
      <c r="A150">
        <v>2204409082</v>
      </c>
      <c r="B150" t="s">
        <v>886</v>
      </c>
      <c r="C150">
        <v>3268955618</v>
      </c>
      <c r="E150" s="36" t="s">
        <v>566</v>
      </c>
    </row>
    <row r="151" spans="1:5" x14ac:dyDescent="0.2">
      <c r="A151">
        <v>2204409082</v>
      </c>
      <c r="B151" t="s">
        <v>886</v>
      </c>
      <c r="C151">
        <v>3268955755</v>
      </c>
      <c r="E151" t="s">
        <v>18</v>
      </c>
    </row>
    <row r="152" spans="1:5" x14ac:dyDescent="0.2">
      <c r="A152">
        <v>2204409082</v>
      </c>
      <c r="B152" t="s">
        <v>886</v>
      </c>
      <c r="C152">
        <v>3268955908</v>
      </c>
      <c r="E152" t="s">
        <v>567</v>
      </c>
    </row>
    <row r="153" spans="1:5" x14ac:dyDescent="0.2">
      <c r="A153">
        <v>2204409082</v>
      </c>
      <c r="B153" t="s">
        <v>886</v>
      </c>
      <c r="C153">
        <v>3268956087</v>
      </c>
      <c r="E153" t="s">
        <v>22</v>
      </c>
    </row>
    <row r="154" spans="1:5" x14ac:dyDescent="0.2">
      <c r="A154">
        <v>2204409082</v>
      </c>
      <c r="B154" t="s">
        <v>886</v>
      </c>
      <c r="C154">
        <v>3268956392</v>
      </c>
      <c r="E154" t="s">
        <v>20</v>
      </c>
    </row>
    <row r="155" spans="1:5" x14ac:dyDescent="0.2">
      <c r="A155">
        <v>2204409082</v>
      </c>
      <c r="B155" t="s">
        <v>886</v>
      </c>
      <c r="C155">
        <v>3268956794</v>
      </c>
      <c r="E155" t="s">
        <v>21</v>
      </c>
    </row>
    <row r="156" spans="1:5" x14ac:dyDescent="0.2">
      <c r="A156">
        <v>2204409082</v>
      </c>
      <c r="B156" t="s">
        <v>886</v>
      </c>
      <c r="C156">
        <v>3268957021</v>
      </c>
      <c r="E156" t="s">
        <v>23</v>
      </c>
    </row>
    <row r="157" spans="1:5" x14ac:dyDescent="0.2">
      <c r="A157">
        <v>2204409082</v>
      </c>
      <c r="B157" t="s">
        <v>886</v>
      </c>
      <c r="C157">
        <v>3268957217</v>
      </c>
      <c r="E157" t="s">
        <v>36</v>
      </c>
    </row>
    <row r="158" spans="1:5" x14ac:dyDescent="0.2">
      <c r="A158">
        <v>2204409082</v>
      </c>
      <c r="B158" t="s">
        <v>886</v>
      </c>
      <c r="C158">
        <v>3268957902</v>
      </c>
      <c r="E158" t="s">
        <v>576</v>
      </c>
    </row>
    <row r="159" spans="1:5" x14ac:dyDescent="0.2">
      <c r="A159">
        <v>2204409082</v>
      </c>
      <c r="B159" t="s">
        <v>886</v>
      </c>
      <c r="C159">
        <v>3268959880</v>
      </c>
      <c r="E159" s="36" t="s">
        <v>574</v>
      </c>
    </row>
    <row r="160" spans="1:5" x14ac:dyDescent="0.2">
      <c r="A160">
        <v>2204409082</v>
      </c>
      <c r="B160" t="s">
        <v>886</v>
      </c>
      <c r="C160">
        <v>3268963259</v>
      </c>
      <c r="E160" s="36" t="s">
        <v>585</v>
      </c>
    </row>
    <row r="161" spans="1:5" x14ac:dyDescent="0.2">
      <c r="A161">
        <v>2204409082</v>
      </c>
      <c r="B161" t="s">
        <v>886</v>
      </c>
      <c r="C161">
        <v>3268963361</v>
      </c>
      <c r="E161" t="s">
        <v>584</v>
      </c>
    </row>
    <row r="162" spans="1:5" x14ac:dyDescent="0.2">
      <c r="A162">
        <v>2204409082</v>
      </c>
      <c r="B162" t="s">
        <v>886</v>
      </c>
      <c r="C162">
        <v>3268963476</v>
      </c>
      <c r="E162" s="36" t="s">
        <v>583</v>
      </c>
    </row>
    <row r="163" spans="1:5" x14ac:dyDescent="0.2">
      <c r="A163">
        <v>2204409082</v>
      </c>
      <c r="B163" t="s">
        <v>886</v>
      </c>
      <c r="C163">
        <v>3268964040</v>
      </c>
      <c r="E163" t="s">
        <v>582</v>
      </c>
    </row>
    <row r="164" spans="1:5" x14ac:dyDescent="0.2">
      <c r="A164">
        <v>2204409082</v>
      </c>
      <c r="B164" t="s">
        <v>886</v>
      </c>
      <c r="C164">
        <v>3268964463</v>
      </c>
      <c r="E164" t="s">
        <v>573</v>
      </c>
    </row>
    <row r="165" spans="1:5" x14ac:dyDescent="0.2">
      <c r="A165">
        <v>2204409082</v>
      </c>
      <c r="B165" t="s">
        <v>886</v>
      </c>
      <c r="C165">
        <v>3268964917</v>
      </c>
      <c r="E165" s="36" t="s">
        <v>572</v>
      </c>
    </row>
    <row r="166" spans="1:5" x14ac:dyDescent="0.2">
      <c r="A166">
        <v>2204409082</v>
      </c>
      <c r="B166" t="s">
        <v>886</v>
      </c>
      <c r="C166">
        <v>3268965501</v>
      </c>
      <c r="E166" s="36" t="s">
        <v>581</v>
      </c>
    </row>
    <row r="167" spans="1:5" x14ac:dyDescent="0.2">
      <c r="A167">
        <v>2204409082</v>
      </c>
      <c r="B167" t="s">
        <v>886</v>
      </c>
      <c r="C167">
        <v>3268966764</v>
      </c>
      <c r="E167" t="s">
        <v>571</v>
      </c>
    </row>
    <row r="168" spans="1:5" x14ac:dyDescent="0.2">
      <c r="A168">
        <v>2204409082</v>
      </c>
      <c r="B168" t="s">
        <v>886</v>
      </c>
      <c r="C168">
        <v>3268966932</v>
      </c>
      <c r="E168" t="s">
        <v>570</v>
      </c>
    </row>
    <row r="169" spans="1:5" x14ac:dyDescent="0.2">
      <c r="A169">
        <v>2204409082</v>
      </c>
      <c r="B169" t="s">
        <v>886</v>
      </c>
      <c r="C169">
        <v>3268967198</v>
      </c>
      <c r="E169" t="s">
        <v>569</v>
      </c>
    </row>
    <row r="170" spans="1:5" x14ac:dyDescent="0.2">
      <c r="A170">
        <v>2204409082</v>
      </c>
      <c r="B170" t="s">
        <v>886</v>
      </c>
      <c r="C170">
        <v>3268969660</v>
      </c>
      <c r="E170" t="s">
        <v>568</v>
      </c>
    </row>
    <row r="171" spans="1:5" x14ac:dyDescent="0.2">
      <c r="A171">
        <v>2204409082</v>
      </c>
      <c r="B171" t="s">
        <v>886</v>
      </c>
      <c r="C171">
        <v>3268969833</v>
      </c>
      <c r="E171" t="s">
        <v>577</v>
      </c>
    </row>
    <row r="172" spans="1:5" x14ac:dyDescent="0.2">
      <c r="A172">
        <v>2204409082</v>
      </c>
      <c r="B172" t="s">
        <v>886</v>
      </c>
      <c r="C172">
        <v>3268971851</v>
      </c>
      <c r="E172" t="s">
        <v>298</v>
      </c>
    </row>
    <row r="173" spans="1:5" x14ac:dyDescent="0.2">
      <c r="A173">
        <v>2204409082</v>
      </c>
      <c r="B173" t="s">
        <v>886</v>
      </c>
      <c r="C173">
        <v>3268972308</v>
      </c>
      <c r="E173" s="36" t="s">
        <v>306</v>
      </c>
    </row>
    <row r="174" spans="1:5" x14ac:dyDescent="0.2">
      <c r="A174">
        <v>2204409082</v>
      </c>
      <c r="B174" t="s">
        <v>886</v>
      </c>
      <c r="C174">
        <v>3268977614</v>
      </c>
      <c r="E174" s="36" t="s">
        <v>482</v>
      </c>
    </row>
    <row r="175" spans="1:5" x14ac:dyDescent="0.2">
      <c r="A175">
        <v>2204409082</v>
      </c>
      <c r="B175" t="s">
        <v>886</v>
      </c>
      <c r="C175">
        <v>3269750277</v>
      </c>
      <c r="E175" t="s">
        <v>580</v>
      </c>
    </row>
    <row r="176" spans="1:5" x14ac:dyDescent="0.2">
      <c r="A176">
        <v>2204409082</v>
      </c>
      <c r="B176" t="s">
        <v>886</v>
      </c>
      <c r="C176">
        <v>4007163015</v>
      </c>
      <c r="E176" t="s">
        <v>607</v>
      </c>
    </row>
    <row r="177" spans="1:5" x14ac:dyDescent="0.2">
      <c r="A177">
        <v>2204409082</v>
      </c>
      <c r="B177" t="s">
        <v>886</v>
      </c>
      <c r="C177">
        <v>4007163017</v>
      </c>
      <c r="E177" t="s">
        <v>595</v>
      </c>
    </row>
    <row r="178" spans="1:5" x14ac:dyDescent="0.2">
      <c r="A178">
        <v>2204409082</v>
      </c>
      <c r="B178" t="s">
        <v>886</v>
      </c>
      <c r="C178">
        <v>4009148394</v>
      </c>
      <c r="E178" t="s">
        <v>624</v>
      </c>
    </row>
    <row r="179" spans="1:5" x14ac:dyDescent="0.2">
      <c r="A179">
        <v>2204409082</v>
      </c>
      <c r="B179" t="s">
        <v>886</v>
      </c>
      <c r="C179">
        <v>4009148397</v>
      </c>
      <c r="E179" t="s">
        <v>623</v>
      </c>
    </row>
    <row r="180" spans="1:5" x14ac:dyDescent="0.2">
      <c r="A180">
        <v>2204409082</v>
      </c>
      <c r="B180" t="s">
        <v>886</v>
      </c>
      <c r="C180">
        <v>4009148400</v>
      </c>
      <c r="E180" t="s">
        <v>622</v>
      </c>
    </row>
    <row r="181" spans="1:5" x14ac:dyDescent="0.2">
      <c r="A181">
        <v>2204409082</v>
      </c>
      <c r="B181" t="s">
        <v>886</v>
      </c>
      <c r="C181">
        <v>4009151494</v>
      </c>
      <c r="E181" t="s">
        <v>621</v>
      </c>
    </row>
    <row r="182" spans="1:5" x14ac:dyDescent="0.2">
      <c r="A182">
        <v>2204409082</v>
      </c>
      <c r="B182" t="s">
        <v>886</v>
      </c>
      <c r="C182">
        <v>4009151497</v>
      </c>
      <c r="E182" t="s">
        <v>620</v>
      </c>
    </row>
    <row r="183" spans="1:5" x14ac:dyDescent="0.2">
      <c r="A183">
        <v>2204409082</v>
      </c>
      <c r="B183" t="s">
        <v>886</v>
      </c>
      <c r="C183">
        <v>4009151500</v>
      </c>
      <c r="E183" t="s">
        <v>619</v>
      </c>
    </row>
    <row r="184" spans="1:5" x14ac:dyDescent="0.2">
      <c r="A184">
        <v>2204409082</v>
      </c>
      <c r="B184" t="s">
        <v>886</v>
      </c>
      <c r="C184">
        <v>4009151503</v>
      </c>
      <c r="E184" t="s">
        <v>618</v>
      </c>
    </row>
    <row r="185" spans="1:5" x14ac:dyDescent="0.2">
      <c r="A185">
        <v>2204409082</v>
      </c>
      <c r="B185" t="s">
        <v>886</v>
      </c>
      <c r="C185">
        <v>4009151506</v>
      </c>
      <c r="E185" t="s">
        <v>617</v>
      </c>
    </row>
    <row r="186" spans="1:5" x14ac:dyDescent="0.2">
      <c r="A186">
        <v>2204409082</v>
      </c>
      <c r="B186" t="s">
        <v>886</v>
      </c>
      <c r="C186">
        <v>4009151509</v>
      </c>
      <c r="E186" t="s">
        <v>616</v>
      </c>
    </row>
    <row r="187" spans="1:5" x14ac:dyDescent="0.2">
      <c r="A187">
        <v>2204409082</v>
      </c>
      <c r="B187" t="s">
        <v>886</v>
      </c>
      <c r="C187">
        <v>4009151512</v>
      </c>
      <c r="E187" t="s">
        <v>615</v>
      </c>
    </row>
    <row r="188" spans="1:5" x14ac:dyDescent="0.2">
      <c r="A188">
        <v>2204409082</v>
      </c>
      <c r="B188" t="s">
        <v>886</v>
      </c>
      <c r="C188">
        <v>4009151515</v>
      </c>
      <c r="E188" t="s">
        <v>614</v>
      </c>
    </row>
    <row r="189" spans="1:5" x14ac:dyDescent="0.2">
      <c r="A189">
        <v>2204409082</v>
      </c>
      <c r="B189" t="s">
        <v>886</v>
      </c>
      <c r="C189">
        <v>4009151518</v>
      </c>
      <c r="E189" t="s">
        <v>635</v>
      </c>
    </row>
    <row r="190" spans="1:5" x14ac:dyDescent="0.2">
      <c r="A190">
        <v>2204409082</v>
      </c>
      <c r="B190" t="s">
        <v>886</v>
      </c>
      <c r="C190">
        <v>4009151521</v>
      </c>
      <c r="E190" t="s">
        <v>634</v>
      </c>
    </row>
    <row r="191" spans="1:5" x14ac:dyDescent="0.2">
      <c r="A191">
        <v>2204409082</v>
      </c>
      <c r="B191" t="s">
        <v>886</v>
      </c>
      <c r="C191">
        <v>4009151526</v>
      </c>
      <c r="E191" t="s">
        <v>613</v>
      </c>
    </row>
    <row r="192" spans="1:5" x14ac:dyDescent="0.2">
      <c r="A192">
        <v>2204409082</v>
      </c>
      <c r="B192" t="s">
        <v>886</v>
      </c>
      <c r="C192">
        <v>4009151530</v>
      </c>
      <c r="E192" t="s">
        <v>612</v>
      </c>
    </row>
    <row r="193" spans="1:5" x14ac:dyDescent="0.2">
      <c r="A193">
        <v>2204409082</v>
      </c>
      <c r="B193" t="s">
        <v>886</v>
      </c>
      <c r="C193">
        <v>4009151536</v>
      </c>
      <c r="E193" t="s">
        <v>610</v>
      </c>
    </row>
    <row r="194" spans="1:5" x14ac:dyDescent="0.2">
      <c r="A194">
        <v>2204409082</v>
      </c>
      <c r="B194" t="s">
        <v>886</v>
      </c>
      <c r="C194">
        <v>4009151539</v>
      </c>
      <c r="E194" t="s">
        <v>611</v>
      </c>
    </row>
    <row r="195" spans="1:5" x14ac:dyDescent="0.2">
      <c r="A195">
        <v>2204409082</v>
      </c>
      <c r="B195" t="s">
        <v>886</v>
      </c>
      <c r="C195">
        <v>4009151545</v>
      </c>
      <c r="E195" t="s">
        <v>636</v>
      </c>
    </row>
    <row r="196" spans="1:5" x14ac:dyDescent="0.2">
      <c r="A196">
        <v>2204409082</v>
      </c>
      <c r="B196" t="s">
        <v>886</v>
      </c>
      <c r="C196">
        <v>4009151548</v>
      </c>
      <c r="E196" t="s">
        <v>637</v>
      </c>
    </row>
    <row r="197" spans="1:5" x14ac:dyDescent="0.2">
      <c r="A197">
        <v>2204409082</v>
      </c>
      <c r="B197" t="s">
        <v>886</v>
      </c>
      <c r="C197">
        <v>4009151551</v>
      </c>
      <c r="E197" t="s">
        <v>638</v>
      </c>
    </row>
    <row r="198" spans="1:5" x14ac:dyDescent="0.2">
      <c r="A198">
        <v>2204409082</v>
      </c>
      <c r="B198" t="s">
        <v>886</v>
      </c>
      <c r="C198">
        <v>4009151554</v>
      </c>
      <c r="E198" t="s">
        <v>640</v>
      </c>
    </row>
    <row r="199" spans="1:5" x14ac:dyDescent="0.2">
      <c r="A199">
        <v>2204409082</v>
      </c>
      <c r="B199" t="s">
        <v>886</v>
      </c>
      <c r="C199">
        <v>4009151557</v>
      </c>
      <c r="E199" t="s">
        <v>641</v>
      </c>
    </row>
    <row r="200" spans="1:5" x14ac:dyDescent="0.2">
      <c r="A200">
        <v>2204409082</v>
      </c>
      <c r="B200" t="s">
        <v>886</v>
      </c>
      <c r="C200">
        <v>4009151561</v>
      </c>
      <c r="E200" t="s">
        <v>642</v>
      </c>
    </row>
    <row r="201" spans="1:5" x14ac:dyDescent="0.2">
      <c r="A201">
        <v>2204409082</v>
      </c>
      <c r="B201" t="s">
        <v>886</v>
      </c>
      <c r="C201">
        <v>4009151564</v>
      </c>
      <c r="E201" t="s">
        <v>643</v>
      </c>
    </row>
    <row r="202" spans="1:5" x14ac:dyDescent="0.2">
      <c r="A202">
        <v>2204409082</v>
      </c>
      <c r="B202" t="s">
        <v>886</v>
      </c>
      <c r="C202">
        <v>4009151567</v>
      </c>
      <c r="E202" t="s">
        <v>644</v>
      </c>
    </row>
    <row r="203" spans="1:5" x14ac:dyDescent="0.2">
      <c r="A203">
        <v>2204409082</v>
      </c>
      <c r="B203" t="s">
        <v>886</v>
      </c>
      <c r="C203">
        <v>4009151570</v>
      </c>
      <c r="E203" t="s">
        <v>645</v>
      </c>
    </row>
    <row r="204" spans="1:5" x14ac:dyDescent="0.2">
      <c r="A204">
        <v>2204409082</v>
      </c>
      <c r="B204" t="s">
        <v>886</v>
      </c>
      <c r="C204">
        <v>4009151574</v>
      </c>
      <c r="E204" t="s">
        <v>646</v>
      </c>
    </row>
    <row r="205" spans="1:5" x14ac:dyDescent="0.2">
      <c r="A205">
        <v>2204409082</v>
      </c>
      <c r="B205" t="s">
        <v>886</v>
      </c>
      <c r="C205">
        <v>4009151578</v>
      </c>
      <c r="E205" t="s">
        <v>647</v>
      </c>
    </row>
    <row r="206" spans="1:5" x14ac:dyDescent="0.2">
      <c r="A206">
        <v>2204409082</v>
      </c>
      <c r="B206" t="s">
        <v>886</v>
      </c>
      <c r="C206">
        <v>4009151582</v>
      </c>
      <c r="E206" t="s">
        <v>648</v>
      </c>
    </row>
    <row r="207" spans="1:5" x14ac:dyDescent="0.2">
      <c r="A207">
        <v>2204409082</v>
      </c>
      <c r="B207" t="s">
        <v>886</v>
      </c>
      <c r="C207">
        <v>4038136395</v>
      </c>
      <c r="E207" t="s">
        <v>486</v>
      </c>
    </row>
    <row r="208" spans="1:5" x14ac:dyDescent="0.2">
      <c r="A208">
        <v>2204409082</v>
      </c>
      <c r="B208" t="s">
        <v>886</v>
      </c>
      <c r="C208">
        <v>4057851576</v>
      </c>
      <c r="E208" t="s">
        <v>683</v>
      </c>
    </row>
    <row r="209" spans="1:5" x14ac:dyDescent="0.2">
      <c r="A209">
        <v>2204409082</v>
      </c>
      <c r="B209" t="s">
        <v>886</v>
      </c>
      <c r="C209">
        <v>4057851579</v>
      </c>
      <c r="E209" t="s">
        <v>682</v>
      </c>
    </row>
    <row r="210" spans="1:5" x14ac:dyDescent="0.2">
      <c r="A210">
        <v>2204409082</v>
      </c>
      <c r="B210" t="s">
        <v>886</v>
      </c>
      <c r="C210">
        <v>4057851582</v>
      </c>
      <c r="E210" t="s">
        <v>660</v>
      </c>
    </row>
    <row r="211" spans="1:5" x14ac:dyDescent="0.2">
      <c r="A211">
        <v>2204409082</v>
      </c>
      <c r="B211" t="s">
        <v>886</v>
      </c>
      <c r="C211">
        <v>4057851585</v>
      </c>
      <c r="E211" t="s">
        <v>659</v>
      </c>
    </row>
    <row r="212" spans="1:5" x14ac:dyDescent="0.2">
      <c r="A212">
        <v>2204409082</v>
      </c>
      <c r="B212" t="s">
        <v>886</v>
      </c>
      <c r="C212">
        <v>4057851588</v>
      </c>
      <c r="E212" t="s">
        <v>658</v>
      </c>
    </row>
    <row r="213" spans="1:5" x14ac:dyDescent="0.2">
      <c r="A213">
        <v>2204409082</v>
      </c>
      <c r="B213" t="s">
        <v>886</v>
      </c>
      <c r="C213">
        <v>4165269993</v>
      </c>
      <c r="E213" s="36" t="s">
        <v>703</v>
      </c>
    </row>
    <row r="214" spans="1:5" x14ac:dyDescent="0.2">
      <c r="A214">
        <v>2204409082</v>
      </c>
      <c r="B214" t="s">
        <v>886</v>
      </c>
      <c r="C214">
        <v>4165271206</v>
      </c>
      <c r="E214" t="s">
        <v>246</v>
      </c>
    </row>
    <row r="215" spans="1:5" x14ac:dyDescent="0.2">
      <c r="A215">
        <v>2204409082</v>
      </c>
      <c r="B215" t="s">
        <v>886</v>
      </c>
      <c r="C215">
        <v>4165271788</v>
      </c>
      <c r="E215" t="s">
        <v>700</v>
      </c>
    </row>
    <row r="216" spans="1:5" x14ac:dyDescent="0.2">
      <c r="A216">
        <v>2204409082</v>
      </c>
      <c r="B216" t="s">
        <v>886</v>
      </c>
      <c r="C216">
        <v>4165272545</v>
      </c>
      <c r="E216" t="s">
        <v>699</v>
      </c>
    </row>
    <row r="217" spans="1:5" x14ac:dyDescent="0.2">
      <c r="A217">
        <v>2204409082</v>
      </c>
      <c r="B217" t="s">
        <v>886</v>
      </c>
      <c r="C217">
        <v>4165272653</v>
      </c>
      <c r="E217" t="s">
        <v>698</v>
      </c>
    </row>
    <row r="218" spans="1:5" x14ac:dyDescent="0.2">
      <c r="A218">
        <v>2204409082</v>
      </c>
      <c r="B218" t="s">
        <v>886</v>
      </c>
      <c r="C218">
        <v>4165272891</v>
      </c>
      <c r="E218" t="s">
        <v>696</v>
      </c>
    </row>
    <row r="219" spans="1:5" x14ac:dyDescent="0.2">
      <c r="A219">
        <v>2204409082</v>
      </c>
      <c r="B219" t="s">
        <v>886</v>
      </c>
      <c r="C219">
        <v>4165272990</v>
      </c>
      <c r="E219" t="s">
        <v>694</v>
      </c>
    </row>
    <row r="220" spans="1:5" x14ac:dyDescent="0.2">
      <c r="A220">
        <v>2204409082</v>
      </c>
      <c r="B220" t="s">
        <v>886</v>
      </c>
      <c r="C220">
        <v>4165273078</v>
      </c>
      <c r="E220" t="s">
        <v>485</v>
      </c>
    </row>
    <row r="221" spans="1:5" x14ac:dyDescent="0.2">
      <c r="A221">
        <v>2204409082</v>
      </c>
      <c r="B221" t="s">
        <v>886</v>
      </c>
      <c r="C221">
        <v>4165273126</v>
      </c>
      <c r="E221" t="s">
        <v>693</v>
      </c>
    </row>
    <row r="222" spans="1:5" x14ac:dyDescent="0.2">
      <c r="A222">
        <v>2204409082</v>
      </c>
      <c r="B222" t="s">
        <v>886</v>
      </c>
      <c r="C222">
        <v>4165299164</v>
      </c>
      <c r="E222" t="s">
        <v>497</v>
      </c>
    </row>
    <row r="223" spans="1:5" x14ac:dyDescent="0.2">
      <c r="A223">
        <v>2204409082</v>
      </c>
      <c r="B223" t="s">
        <v>886</v>
      </c>
      <c r="C223">
        <v>4208249094</v>
      </c>
      <c r="E223" t="s">
        <v>701</v>
      </c>
    </row>
    <row r="224" spans="1:5" x14ac:dyDescent="0.2">
      <c r="A224">
        <v>2204409082</v>
      </c>
      <c r="B224" t="s">
        <v>886</v>
      </c>
      <c r="C224">
        <v>4208249099</v>
      </c>
      <c r="E224" t="s">
        <v>717</v>
      </c>
    </row>
    <row r="225" spans="1:5" x14ac:dyDescent="0.2">
      <c r="A225">
        <v>2204409082</v>
      </c>
      <c r="B225" t="s">
        <v>886</v>
      </c>
      <c r="C225">
        <v>4208249102</v>
      </c>
      <c r="E225" t="s">
        <v>702</v>
      </c>
    </row>
    <row r="226" spans="1:5" x14ac:dyDescent="0.2">
      <c r="A226">
        <v>2204409082</v>
      </c>
      <c r="B226" t="s">
        <v>886</v>
      </c>
      <c r="C226">
        <v>4407035646</v>
      </c>
      <c r="E226" t="s">
        <v>27</v>
      </c>
    </row>
    <row r="227" spans="1:5" x14ac:dyDescent="0.2">
      <c r="A227">
        <v>2204409082</v>
      </c>
      <c r="B227" t="s">
        <v>886</v>
      </c>
      <c r="C227">
        <v>4429091638</v>
      </c>
      <c r="E227" t="s">
        <v>758</v>
      </c>
    </row>
    <row r="228" spans="1:5" x14ac:dyDescent="0.2">
      <c r="A228">
        <v>2204409082</v>
      </c>
      <c r="B228" t="s">
        <v>886</v>
      </c>
      <c r="C228">
        <v>4702410755</v>
      </c>
      <c r="E228" t="s">
        <v>865</v>
      </c>
    </row>
    <row r="229" spans="1:5" x14ac:dyDescent="0.2">
      <c r="A229">
        <v>2206324429</v>
      </c>
      <c r="B229" s="43" t="s">
        <v>887</v>
      </c>
      <c r="C229">
        <v>2206325785</v>
      </c>
      <c r="E229" t="s">
        <v>181</v>
      </c>
    </row>
    <row r="230" spans="1:5" x14ac:dyDescent="0.2">
      <c r="A230">
        <v>2206324429</v>
      </c>
      <c r="B230" s="43" t="s">
        <v>887</v>
      </c>
      <c r="C230">
        <v>3273927680</v>
      </c>
      <c r="E230" t="s">
        <v>506</v>
      </c>
    </row>
    <row r="231" spans="1:5" x14ac:dyDescent="0.2">
      <c r="A231">
        <v>2206324429</v>
      </c>
      <c r="B231" s="43" t="s">
        <v>887</v>
      </c>
      <c r="C231">
        <v>3273928658</v>
      </c>
      <c r="E231" t="s">
        <v>281</v>
      </c>
    </row>
    <row r="232" spans="1:5" x14ac:dyDescent="0.2">
      <c r="A232">
        <v>2206324429</v>
      </c>
      <c r="B232" s="43" t="s">
        <v>887</v>
      </c>
      <c r="C232">
        <v>3273929861</v>
      </c>
      <c r="E232" t="s">
        <v>307</v>
      </c>
    </row>
    <row r="233" spans="1:5" x14ac:dyDescent="0.2">
      <c r="A233">
        <v>2206324429</v>
      </c>
      <c r="B233" s="43" t="s">
        <v>887</v>
      </c>
      <c r="C233">
        <v>3273930176</v>
      </c>
      <c r="E233" t="s">
        <v>304</v>
      </c>
    </row>
    <row r="234" spans="1:5" x14ac:dyDescent="0.2">
      <c r="A234">
        <v>2206324429</v>
      </c>
      <c r="B234" s="43" t="s">
        <v>887</v>
      </c>
      <c r="C234">
        <v>4559919334</v>
      </c>
      <c r="E234" t="s">
        <v>822</v>
      </c>
    </row>
    <row r="235" spans="1:5" x14ac:dyDescent="0.2">
      <c r="A235">
        <v>2206328892</v>
      </c>
      <c r="B235" t="s">
        <v>888</v>
      </c>
      <c r="C235">
        <v>4019153430</v>
      </c>
      <c r="E235" t="s">
        <v>651</v>
      </c>
    </row>
    <row r="236" spans="1:5" x14ac:dyDescent="0.2">
      <c r="A236">
        <v>2206329792</v>
      </c>
      <c r="B236" t="s">
        <v>889</v>
      </c>
      <c r="C236">
        <v>3273926175</v>
      </c>
      <c r="E236" t="s">
        <v>499</v>
      </c>
    </row>
    <row r="237" spans="1:5" x14ac:dyDescent="0.2">
      <c r="A237">
        <v>2206330260</v>
      </c>
      <c r="B237" t="s">
        <v>890</v>
      </c>
      <c r="C237">
        <v>2206330380</v>
      </c>
      <c r="E237" t="s">
        <v>545</v>
      </c>
    </row>
    <row r="238" spans="1:5" x14ac:dyDescent="0.2">
      <c r="A238">
        <v>2206330260</v>
      </c>
      <c r="B238" t="s">
        <v>890</v>
      </c>
      <c r="C238">
        <v>2206330667</v>
      </c>
      <c r="E238" t="s">
        <v>544</v>
      </c>
    </row>
    <row r="239" spans="1:5" x14ac:dyDescent="0.2">
      <c r="A239">
        <v>2206331178</v>
      </c>
      <c r="B239" t="s">
        <v>891</v>
      </c>
      <c r="C239">
        <v>3835064201</v>
      </c>
      <c r="E239" t="s">
        <v>605</v>
      </c>
    </row>
    <row r="240" spans="1:5" x14ac:dyDescent="0.2">
      <c r="A240">
        <v>2206331178</v>
      </c>
      <c r="B240" t="s">
        <v>891</v>
      </c>
      <c r="C240">
        <v>3835064204</v>
      </c>
      <c r="E240" t="s">
        <v>592</v>
      </c>
    </row>
    <row r="241" spans="1:5" x14ac:dyDescent="0.2">
      <c r="A241">
        <v>2206331178</v>
      </c>
      <c r="B241" t="s">
        <v>891</v>
      </c>
      <c r="C241">
        <v>4234596426</v>
      </c>
      <c r="E241" t="s">
        <v>734</v>
      </c>
    </row>
    <row r="242" spans="1:5" x14ac:dyDescent="0.2">
      <c r="A242">
        <v>2206331178</v>
      </c>
      <c r="B242" t="s">
        <v>891</v>
      </c>
      <c r="C242">
        <v>4268557196</v>
      </c>
      <c r="E242" t="s">
        <v>723</v>
      </c>
    </row>
    <row r="243" spans="1:5" x14ac:dyDescent="0.2">
      <c r="A243">
        <v>2206331178</v>
      </c>
      <c r="B243" t="s">
        <v>891</v>
      </c>
      <c r="C243">
        <v>4408220979</v>
      </c>
      <c r="E243" t="s">
        <v>749</v>
      </c>
    </row>
    <row r="244" spans="1:5" x14ac:dyDescent="0.2">
      <c r="A244">
        <v>2206331178</v>
      </c>
      <c r="B244" t="s">
        <v>891</v>
      </c>
      <c r="C244">
        <v>4408220981</v>
      </c>
      <c r="E244" t="s">
        <v>730</v>
      </c>
    </row>
    <row r="245" spans="1:5" x14ac:dyDescent="0.2">
      <c r="A245">
        <v>2206331178</v>
      </c>
      <c r="B245" t="s">
        <v>891</v>
      </c>
      <c r="C245">
        <v>4471487579</v>
      </c>
      <c r="E245" t="s">
        <v>789</v>
      </c>
    </row>
    <row r="246" spans="1:5" x14ac:dyDescent="0.2">
      <c r="A246">
        <v>2206331178</v>
      </c>
      <c r="B246" t="s">
        <v>891</v>
      </c>
      <c r="C246">
        <v>4471487583</v>
      </c>
      <c r="E246" t="s">
        <v>790</v>
      </c>
    </row>
    <row r="247" spans="1:5" x14ac:dyDescent="0.2">
      <c r="A247">
        <v>2206331178</v>
      </c>
      <c r="B247" t="s">
        <v>891</v>
      </c>
      <c r="C247">
        <v>4699586935</v>
      </c>
      <c r="E247" t="s">
        <v>868</v>
      </c>
    </row>
    <row r="248" spans="1:5" x14ac:dyDescent="0.2">
      <c r="A248">
        <v>2206335828</v>
      </c>
      <c r="B248" t="s">
        <v>892</v>
      </c>
      <c r="C248">
        <v>2206336051</v>
      </c>
      <c r="E248" t="s">
        <v>540</v>
      </c>
    </row>
    <row r="249" spans="1:5" x14ac:dyDescent="0.2">
      <c r="A249">
        <v>2206335828</v>
      </c>
      <c r="B249" t="s">
        <v>892</v>
      </c>
      <c r="C249">
        <v>3273928514</v>
      </c>
      <c r="E249" t="s">
        <v>130</v>
      </c>
    </row>
    <row r="250" spans="1:5" x14ac:dyDescent="0.2">
      <c r="A250">
        <v>2206687930</v>
      </c>
      <c r="B250" t="s">
        <v>893</v>
      </c>
      <c r="C250">
        <v>2206693040</v>
      </c>
      <c r="E250" t="s">
        <v>538</v>
      </c>
    </row>
    <row r="251" spans="1:5" x14ac:dyDescent="0.2">
      <c r="A251">
        <v>2206687930</v>
      </c>
      <c r="B251" t="s">
        <v>893</v>
      </c>
      <c r="C251">
        <v>3273957707</v>
      </c>
      <c r="E251" t="s">
        <v>163</v>
      </c>
    </row>
    <row r="252" spans="1:5" x14ac:dyDescent="0.2">
      <c r="A252">
        <v>2208230187</v>
      </c>
      <c r="B252" t="s">
        <v>894</v>
      </c>
      <c r="C252">
        <v>2208237183</v>
      </c>
      <c r="E252" t="s">
        <v>534</v>
      </c>
    </row>
    <row r="253" spans="1:5" x14ac:dyDescent="0.2">
      <c r="A253">
        <v>2208230187</v>
      </c>
      <c r="B253" t="s">
        <v>894</v>
      </c>
      <c r="C253">
        <v>4206125548</v>
      </c>
      <c r="E253" t="s">
        <v>697</v>
      </c>
    </row>
    <row r="254" spans="1:5" x14ac:dyDescent="0.2">
      <c r="A254">
        <v>2208257529</v>
      </c>
      <c r="B254" t="s">
        <v>895</v>
      </c>
      <c r="C254">
        <v>2208237183</v>
      </c>
      <c r="E254" t="s">
        <v>534</v>
      </c>
    </row>
    <row r="255" spans="1:5" x14ac:dyDescent="0.2">
      <c r="A255">
        <v>2208508869</v>
      </c>
      <c r="B255" t="s">
        <v>896</v>
      </c>
      <c r="C255">
        <v>2208237183</v>
      </c>
      <c r="E255" t="s">
        <v>534</v>
      </c>
    </row>
    <row r="256" spans="1:5" x14ac:dyDescent="0.2">
      <c r="A256">
        <v>2208508869</v>
      </c>
      <c r="B256" t="s">
        <v>896</v>
      </c>
      <c r="C256">
        <v>4206125548</v>
      </c>
      <c r="E256" t="s">
        <v>697</v>
      </c>
    </row>
    <row r="257" spans="1:5" x14ac:dyDescent="0.2">
      <c r="A257">
        <v>2209257721</v>
      </c>
      <c r="B257" t="s">
        <v>897</v>
      </c>
      <c r="C257">
        <v>4130996988</v>
      </c>
      <c r="E257" t="s">
        <v>704</v>
      </c>
    </row>
    <row r="258" spans="1:5" x14ac:dyDescent="0.2">
      <c r="A258">
        <v>2209257721</v>
      </c>
      <c r="B258" t="s">
        <v>897</v>
      </c>
      <c r="C258">
        <v>4206125548</v>
      </c>
      <c r="E258" t="s">
        <v>697</v>
      </c>
    </row>
    <row r="259" spans="1:5" x14ac:dyDescent="0.2">
      <c r="A259">
        <v>2209366007</v>
      </c>
      <c r="B259" t="s">
        <v>898</v>
      </c>
      <c r="C259">
        <v>2217499324</v>
      </c>
      <c r="E259" t="s">
        <v>551</v>
      </c>
    </row>
    <row r="260" spans="1:5" x14ac:dyDescent="0.2">
      <c r="A260">
        <v>2209862359</v>
      </c>
      <c r="B260" t="s">
        <v>899</v>
      </c>
      <c r="C260">
        <v>2208237183</v>
      </c>
      <c r="E260" t="s">
        <v>534</v>
      </c>
    </row>
    <row r="261" spans="1:5" x14ac:dyDescent="0.2">
      <c r="A261">
        <v>2210224351</v>
      </c>
      <c r="B261" t="s">
        <v>900</v>
      </c>
      <c r="C261">
        <v>2208237183</v>
      </c>
      <c r="E261" t="s">
        <v>534</v>
      </c>
    </row>
    <row r="262" spans="1:5" x14ac:dyDescent="0.2">
      <c r="A262">
        <v>2210616843</v>
      </c>
      <c r="B262" t="s">
        <v>901</v>
      </c>
      <c r="C262">
        <v>4206125548</v>
      </c>
      <c r="E262" t="s">
        <v>697</v>
      </c>
    </row>
    <row r="263" spans="1:5" x14ac:dyDescent="0.2">
      <c r="A263">
        <v>2210616843</v>
      </c>
      <c r="B263" t="s">
        <v>901</v>
      </c>
      <c r="C263">
        <v>4206125548</v>
      </c>
      <c r="E263" t="s">
        <v>697</v>
      </c>
    </row>
    <row r="264" spans="1:5" x14ac:dyDescent="0.2">
      <c r="A264">
        <v>2210826948</v>
      </c>
      <c r="B264" t="s">
        <v>902</v>
      </c>
      <c r="C264">
        <v>2208237183</v>
      </c>
      <c r="E264" t="s">
        <v>534</v>
      </c>
    </row>
    <row r="265" spans="1:5" x14ac:dyDescent="0.2">
      <c r="A265">
        <v>2210956705</v>
      </c>
      <c r="B265" t="s">
        <v>903</v>
      </c>
      <c r="C265">
        <v>2207323229</v>
      </c>
      <c r="E265" t="s">
        <v>535</v>
      </c>
    </row>
    <row r="266" spans="1:5" x14ac:dyDescent="0.2">
      <c r="A266">
        <v>2210956705</v>
      </c>
      <c r="B266" t="s">
        <v>903</v>
      </c>
      <c r="C266">
        <v>3131294280</v>
      </c>
      <c r="E266" t="s">
        <v>560</v>
      </c>
    </row>
    <row r="267" spans="1:5" x14ac:dyDescent="0.2">
      <c r="A267">
        <v>2211574894</v>
      </c>
      <c r="B267" t="s">
        <v>904</v>
      </c>
      <c r="C267">
        <v>4206125548</v>
      </c>
      <c r="E267" t="s">
        <v>697</v>
      </c>
    </row>
    <row r="268" spans="1:5" x14ac:dyDescent="0.2">
      <c r="A268">
        <v>2211652751</v>
      </c>
      <c r="B268" t="s">
        <v>905</v>
      </c>
      <c r="C268">
        <v>4206125548</v>
      </c>
      <c r="E268" t="s">
        <v>697</v>
      </c>
    </row>
    <row r="269" spans="1:5" x14ac:dyDescent="0.2">
      <c r="A269">
        <v>2211950530</v>
      </c>
      <c r="B269" t="s">
        <v>906</v>
      </c>
      <c r="C269">
        <v>4206125548</v>
      </c>
      <c r="E269" t="s">
        <v>697</v>
      </c>
    </row>
    <row r="270" spans="1:5" x14ac:dyDescent="0.2">
      <c r="A270">
        <v>2212109308</v>
      </c>
      <c r="B270" t="s">
        <v>907</v>
      </c>
      <c r="C270">
        <v>2208237183</v>
      </c>
      <c r="E270" t="s">
        <v>534</v>
      </c>
    </row>
    <row r="271" spans="1:5" x14ac:dyDescent="0.2">
      <c r="A271">
        <v>2212291663</v>
      </c>
      <c r="B271" t="s">
        <v>908</v>
      </c>
      <c r="C271">
        <v>2208237183</v>
      </c>
      <c r="E271" t="s">
        <v>534</v>
      </c>
    </row>
    <row r="272" spans="1:5" x14ac:dyDescent="0.2">
      <c r="A272">
        <v>2212298878</v>
      </c>
      <c r="B272" t="s">
        <v>908</v>
      </c>
      <c r="C272">
        <v>2217163539</v>
      </c>
      <c r="E272" t="s">
        <v>542</v>
      </c>
    </row>
    <row r="273" spans="1:5" x14ac:dyDescent="0.2">
      <c r="A273">
        <v>2212298878</v>
      </c>
      <c r="B273" t="s">
        <v>908</v>
      </c>
      <c r="C273">
        <v>4206125548</v>
      </c>
      <c r="E273" t="s">
        <v>697</v>
      </c>
    </row>
    <row r="274" spans="1:5" x14ac:dyDescent="0.2">
      <c r="A274">
        <v>2212298878</v>
      </c>
      <c r="B274" t="s">
        <v>908</v>
      </c>
      <c r="C274">
        <v>4206125548</v>
      </c>
      <c r="E274" t="s">
        <v>697</v>
      </c>
    </row>
    <row r="275" spans="1:5" x14ac:dyDescent="0.2">
      <c r="A275">
        <v>2212679218</v>
      </c>
      <c r="B275" t="s">
        <v>909</v>
      </c>
      <c r="C275">
        <v>4206125548</v>
      </c>
      <c r="E275" t="s">
        <v>697</v>
      </c>
    </row>
    <row r="276" spans="1:5" x14ac:dyDescent="0.2">
      <c r="A276">
        <v>2213071497</v>
      </c>
      <c r="B276" t="s">
        <v>910</v>
      </c>
      <c r="C276">
        <v>2208237183</v>
      </c>
      <c r="E276" t="s">
        <v>534</v>
      </c>
    </row>
    <row r="277" spans="1:5" x14ac:dyDescent="0.2">
      <c r="A277">
        <v>2213666490</v>
      </c>
      <c r="B277" t="s">
        <v>907</v>
      </c>
      <c r="C277">
        <v>2208237183</v>
      </c>
      <c r="E277" t="s">
        <v>534</v>
      </c>
    </row>
    <row r="278" spans="1:5" x14ac:dyDescent="0.2">
      <c r="A278">
        <v>2213719444</v>
      </c>
      <c r="B278" t="s">
        <v>911</v>
      </c>
      <c r="C278">
        <v>2213719450</v>
      </c>
      <c r="E278" t="s">
        <v>533</v>
      </c>
    </row>
    <row r="279" spans="1:5" x14ac:dyDescent="0.2">
      <c r="A279">
        <v>2213719444</v>
      </c>
      <c r="B279" t="s">
        <v>911</v>
      </c>
      <c r="C279">
        <v>2220639906</v>
      </c>
      <c r="E279" t="s">
        <v>553</v>
      </c>
    </row>
    <row r="280" spans="1:5" x14ac:dyDescent="0.2">
      <c r="A280">
        <v>2213737441</v>
      </c>
      <c r="B280" t="s">
        <v>912</v>
      </c>
      <c r="C280">
        <v>4206125548</v>
      </c>
      <c r="E280" t="s">
        <v>697</v>
      </c>
    </row>
    <row r="281" spans="1:5" x14ac:dyDescent="0.2">
      <c r="A281">
        <v>2213924571</v>
      </c>
      <c r="B281" t="s">
        <v>913</v>
      </c>
      <c r="C281">
        <v>2208237183</v>
      </c>
      <c r="E281" t="s">
        <v>534</v>
      </c>
    </row>
    <row r="282" spans="1:5" x14ac:dyDescent="0.2">
      <c r="A282">
        <v>2213924571</v>
      </c>
      <c r="B282" t="s">
        <v>913</v>
      </c>
      <c r="C282">
        <v>4206125548</v>
      </c>
      <c r="E282" t="s">
        <v>697</v>
      </c>
    </row>
    <row r="283" spans="1:5" x14ac:dyDescent="0.2">
      <c r="A283">
        <v>2213924571</v>
      </c>
      <c r="B283" t="s">
        <v>913</v>
      </c>
      <c r="C283">
        <v>4206125548</v>
      </c>
      <c r="E283" t="s">
        <v>697</v>
      </c>
    </row>
    <row r="284" spans="1:5" x14ac:dyDescent="0.2">
      <c r="A284">
        <v>2213927724</v>
      </c>
      <c r="B284" t="s">
        <v>895</v>
      </c>
      <c r="C284">
        <v>2208237183</v>
      </c>
      <c r="E284" t="s">
        <v>534</v>
      </c>
    </row>
    <row r="285" spans="1:5" x14ac:dyDescent="0.2">
      <c r="A285">
        <v>2213928232</v>
      </c>
      <c r="B285" t="s">
        <v>914</v>
      </c>
      <c r="C285">
        <v>4206125548</v>
      </c>
      <c r="E285" t="s">
        <v>697</v>
      </c>
    </row>
    <row r="286" spans="1:5" x14ac:dyDescent="0.2">
      <c r="A286">
        <v>2213929366</v>
      </c>
      <c r="B286" t="s">
        <v>915</v>
      </c>
      <c r="C286">
        <v>4206125548</v>
      </c>
      <c r="E286" t="s">
        <v>697</v>
      </c>
    </row>
    <row r="287" spans="1:5" x14ac:dyDescent="0.2">
      <c r="A287">
        <v>2214675056</v>
      </c>
      <c r="B287" t="s">
        <v>916</v>
      </c>
      <c r="C287">
        <v>4206125548</v>
      </c>
      <c r="E287" t="s">
        <v>697</v>
      </c>
    </row>
    <row r="288" spans="1:5" x14ac:dyDescent="0.2">
      <c r="A288">
        <v>2214759960</v>
      </c>
      <c r="B288" t="s">
        <v>917</v>
      </c>
      <c r="C288">
        <v>2208237183</v>
      </c>
      <c r="E288" t="s">
        <v>534</v>
      </c>
    </row>
    <row r="289" spans="1:5" x14ac:dyDescent="0.2">
      <c r="A289">
        <v>2214843116</v>
      </c>
      <c r="B289" t="s">
        <v>918</v>
      </c>
      <c r="C289">
        <v>2214843122</v>
      </c>
      <c r="E289" t="s">
        <v>547</v>
      </c>
    </row>
    <row r="290" spans="1:5" x14ac:dyDescent="0.2">
      <c r="A290">
        <v>2214872857</v>
      </c>
      <c r="B290" t="s">
        <v>919</v>
      </c>
      <c r="C290">
        <v>2208237183</v>
      </c>
      <c r="E290" t="s">
        <v>534</v>
      </c>
    </row>
    <row r="291" spans="1:5" x14ac:dyDescent="0.2">
      <c r="A291">
        <v>2214895726</v>
      </c>
      <c r="B291" t="s">
        <v>920</v>
      </c>
      <c r="C291">
        <v>4206125548</v>
      </c>
      <c r="E291" t="s">
        <v>697</v>
      </c>
    </row>
    <row r="292" spans="1:5" x14ac:dyDescent="0.2">
      <c r="A292">
        <v>2214994413</v>
      </c>
      <c r="B292" t="s">
        <v>921</v>
      </c>
      <c r="C292">
        <v>2208237183</v>
      </c>
      <c r="E292" t="s">
        <v>534</v>
      </c>
    </row>
    <row r="293" spans="1:5" x14ac:dyDescent="0.2">
      <c r="A293">
        <v>2215214292</v>
      </c>
      <c r="B293" t="s">
        <v>922</v>
      </c>
      <c r="C293">
        <v>2208237183</v>
      </c>
      <c r="E293" t="s">
        <v>534</v>
      </c>
    </row>
    <row r="294" spans="1:5" x14ac:dyDescent="0.2">
      <c r="A294">
        <v>2215511942</v>
      </c>
      <c r="B294" t="s">
        <v>923</v>
      </c>
      <c r="C294">
        <v>4206125548</v>
      </c>
      <c r="E294" t="s">
        <v>697</v>
      </c>
    </row>
    <row r="295" spans="1:5" x14ac:dyDescent="0.2">
      <c r="A295">
        <v>2215689972</v>
      </c>
      <c r="B295" t="s">
        <v>924</v>
      </c>
      <c r="C295">
        <v>2215689978</v>
      </c>
      <c r="E295" t="s">
        <v>548</v>
      </c>
    </row>
    <row r="296" spans="1:5" x14ac:dyDescent="0.2">
      <c r="A296">
        <v>2215689972</v>
      </c>
      <c r="B296" t="s">
        <v>924</v>
      </c>
      <c r="C296">
        <v>2215689981</v>
      </c>
      <c r="E296" t="s">
        <v>537</v>
      </c>
    </row>
    <row r="297" spans="1:5" x14ac:dyDescent="0.2">
      <c r="A297">
        <v>2215689972</v>
      </c>
      <c r="B297" t="s">
        <v>924</v>
      </c>
      <c r="C297">
        <v>2215689984</v>
      </c>
      <c r="E297" t="s">
        <v>549</v>
      </c>
    </row>
    <row r="298" spans="1:5" x14ac:dyDescent="0.2">
      <c r="A298">
        <v>2215689972</v>
      </c>
      <c r="B298" t="s">
        <v>924</v>
      </c>
      <c r="C298">
        <v>2215689987</v>
      </c>
      <c r="E298" t="s">
        <v>539</v>
      </c>
    </row>
    <row r="299" spans="1:5" x14ac:dyDescent="0.2">
      <c r="A299">
        <v>2215689972</v>
      </c>
      <c r="B299" t="s">
        <v>924</v>
      </c>
      <c r="C299">
        <v>4206125548</v>
      </c>
      <c r="E299" t="s">
        <v>697</v>
      </c>
    </row>
    <row r="300" spans="1:5" x14ac:dyDescent="0.2">
      <c r="A300">
        <v>2215711523</v>
      </c>
      <c r="B300" t="s">
        <v>924</v>
      </c>
      <c r="C300">
        <v>4206125548</v>
      </c>
      <c r="E300" t="s">
        <v>697</v>
      </c>
    </row>
    <row r="301" spans="1:5" x14ac:dyDescent="0.2">
      <c r="A301">
        <v>2215907307</v>
      </c>
      <c r="B301" t="s">
        <v>925</v>
      </c>
      <c r="C301">
        <v>4206125548</v>
      </c>
      <c r="E301" t="s">
        <v>697</v>
      </c>
    </row>
    <row r="302" spans="1:5" x14ac:dyDescent="0.2">
      <c r="A302">
        <v>2216119886</v>
      </c>
      <c r="B302" t="s">
        <v>926</v>
      </c>
      <c r="C302">
        <v>2216119892</v>
      </c>
      <c r="E302" t="s">
        <v>541</v>
      </c>
    </row>
    <row r="303" spans="1:5" x14ac:dyDescent="0.2">
      <c r="A303">
        <v>2216153338</v>
      </c>
      <c r="B303" t="s">
        <v>927</v>
      </c>
      <c r="C303">
        <v>4206125548</v>
      </c>
      <c r="E303" t="s">
        <v>697</v>
      </c>
    </row>
    <row r="304" spans="1:5" x14ac:dyDescent="0.2">
      <c r="A304">
        <v>2216153350</v>
      </c>
      <c r="B304" t="s">
        <v>928</v>
      </c>
      <c r="C304">
        <v>2216096908</v>
      </c>
      <c r="E304" t="s">
        <v>70</v>
      </c>
    </row>
    <row r="305" spans="1:5" x14ac:dyDescent="0.2">
      <c r="A305">
        <v>2216153350</v>
      </c>
      <c r="B305" t="s">
        <v>928</v>
      </c>
      <c r="C305">
        <v>3268932161</v>
      </c>
      <c r="E305" t="s">
        <v>83</v>
      </c>
    </row>
    <row r="306" spans="1:5" x14ac:dyDescent="0.2">
      <c r="A306">
        <v>2216153350</v>
      </c>
      <c r="B306" t="s">
        <v>928</v>
      </c>
      <c r="C306">
        <v>3268934489</v>
      </c>
      <c r="E306" t="s">
        <v>84</v>
      </c>
    </row>
    <row r="307" spans="1:5" x14ac:dyDescent="0.2">
      <c r="A307">
        <v>2216153350</v>
      </c>
      <c r="B307" t="s">
        <v>928</v>
      </c>
      <c r="C307">
        <v>3268934778</v>
      </c>
      <c r="E307" t="s">
        <v>85</v>
      </c>
    </row>
    <row r="308" spans="1:5" x14ac:dyDescent="0.2">
      <c r="A308">
        <v>2216153350</v>
      </c>
      <c r="B308" t="s">
        <v>928</v>
      </c>
      <c r="C308">
        <v>3268968646</v>
      </c>
      <c r="E308" t="s">
        <v>578</v>
      </c>
    </row>
    <row r="309" spans="1:5" x14ac:dyDescent="0.2">
      <c r="A309">
        <v>2216153350</v>
      </c>
      <c r="B309" t="s">
        <v>928</v>
      </c>
      <c r="C309">
        <v>3268969329</v>
      </c>
      <c r="E309" t="s">
        <v>491</v>
      </c>
    </row>
    <row r="310" spans="1:5" x14ac:dyDescent="0.2">
      <c r="A310">
        <v>2216219658</v>
      </c>
      <c r="B310" t="s">
        <v>929</v>
      </c>
      <c r="C310">
        <v>4206125548</v>
      </c>
      <c r="E310" t="s">
        <v>697</v>
      </c>
    </row>
    <row r="311" spans="1:5" x14ac:dyDescent="0.2">
      <c r="A311">
        <v>2216363968</v>
      </c>
      <c r="B311" t="s">
        <v>930</v>
      </c>
      <c r="C311">
        <v>4206125548</v>
      </c>
      <c r="E311" t="s">
        <v>697</v>
      </c>
    </row>
    <row r="312" spans="1:5" x14ac:dyDescent="0.2">
      <c r="A312">
        <v>2216363968</v>
      </c>
      <c r="B312" t="s">
        <v>930</v>
      </c>
      <c r="C312">
        <v>4206125548</v>
      </c>
      <c r="E312" t="s">
        <v>697</v>
      </c>
    </row>
    <row r="313" spans="1:5" x14ac:dyDescent="0.2">
      <c r="A313">
        <v>2216378999</v>
      </c>
      <c r="B313" t="s">
        <v>931</v>
      </c>
      <c r="C313">
        <v>2208237183</v>
      </c>
      <c r="E313" t="s">
        <v>534</v>
      </c>
    </row>
    <row r="314" spans="1:5" x14ac:dyDescent="0.2">
      <c r="A314">
        <v>2216704438</v>
      </c>
      <c r="B314" t="s">
        <v>932</v>
      </c>
      <c r="C314">
        <v>4206125548</v>
      </c>
      <c r="E314" t="s">
        <v>697</v>
      </c>
    </row>
    <row r="315" spans="1:5" x14ac:dyDescent="0.2">
      <c r="A315">
        <v>2216704438</v>
      </c>
      <c r="B315" t="s">
        <v>932</v>
      </c>
      <c r="C315">
        <v>4206125548</v>
      </c>
      <c r="E315" t="s">
        <v>697</v>
      </c>
    </row>
    <row r="316" spans="1:5" x14ac:dyDescent="0.2">
      <c r="A316">
        <v>2216706098</v>
      </c>
      <c r="B316" t="s">
        <v>933</v>
      </c>
      <c r="C316">
        <v>4206125548</v>
      </c>
      <c r="E316" t="s">
        <v>697</v>
      </c>
    </row>
    <row r="317" spans="1:5" x14ac:dyDescent="0.2">
      <c r="A317">
        <v>2216710114</v>
      </c>
      <c r="B317" t="s">
        <v>934</v>
      </c>
      <c r="C317">
        <v>4206125548</v>
      </c>
      <c r="E317" t="s">
        <v>697</v>
      </c>
    </row>
    <row r="318" spans="1:5" x14ac:dyDescent="0.2">
      <c r="A318">
        <v>2217044671</v>
      </c>
      <c r="B318" t="s">
        <v>935</v>
      </c>
      <c r="C318">
        <v>2217044677</v>
      </c>
      <c r="E318" t="s">
        <v>550</v>
      </c>
    </row>
    <row r="319" spans="1:5" x14ac:dyDescent="0.2">
      <c r="A319">
        <v>2217122512</v>
      </c>
      <c r="B319" t="s">
        <v>936</v>
      </c>
      <c r="C319">
        <v>4201190233</v>
      </c>
      <c r="E319" t="s">
        <v>716</v>
      </c>
    </row>
    <row r="320" spans="1:5" x14ac:dyDescent="0.2">
      <c r="A320">
        <v>2217122512</v>
      </c>
      <c r="B320" t="s">
        <v>936</v>
      </c>
      <c r="C320">
        <v>4206125548</v>
      </c>
      <c r="E320" t="s">
        <v>697</v>
      </c>
    </row>
    <row r="321" spans="1:5" x14ac:dyDescent="0.2">
      <c r="A321">
        <v>2217324533</v>
      </c>
      <c r="B321" t="s">
        <v>937</v>
      </c>
      <c r="C321">
        <v>2208237183</v>
      </c>
      <c r="E321" t="s">
        <v>534</v>
      </c>
    </row>
    <row r="322" spans="1:5" x14ac:dyDescent="0.2">
      <c r="A322">
        <v>2217439564</v>
      </c>
      <c r="B322" t="s">
        <v>938</v>
      </c>
      <c r="C322">
        <v>4206125548</v>
      </c>
      <c r="E322" t="s">
        <v>697</v>
      </c>
    </row>
    <row r="323" spans="1:5" x14ac:dyDescent="0.2">
      <c r="A323">
        <v>2217577758</v>
      </c>
      <c r="B323" t="s">
        <v>939</v>
      </c>
      <c r="C323">
        <v>2208237183</v>
      </c>
      <c r="E323" t="s">
        <v>534</v>
      </c>
    </row>
    <row r="324" spans="1:5" x14ac:dyDescent="0.2">
      <c r="A324">
        <v>2217619616</v>
      </c>
      <c r="B324" t="s">
        <v>940</v>
      </c>
      <c r="C324">
        <v>2208237183</v>
      </c>
      <c r="E324" t="s">
        <v>534</v>
      </c>
    </row>
    <row r="325" spans="1:5" x14ac:dyDescent="0.2">
      <c r="A325">
        <v>2217619616</v>
      </c>
      <c r="B325" t="s">
        <v>940</v>
      </c>
      <c r="C325">
        <v>4206125548</v>
      </c>
      <c r="E325" t="s">
        <v>697</v>
      </c>
    </row>
    <row r="326" spans="1:5" x14ac:dyDescent="0.2">
      <c r="A326">
        <v>2218636241</v>
      </c>
      <c r="B326" t="s">
        <v>941</v>
      </c>
      <c r="C326">
        <v>2218636245</v>
      </c>
      <c r="E326" t="s">
        <v>543</v>
      </c>
    </row>
    <row r="327" spans="1:5" x14ac:dyDescent="0.2">
      <c r="A327">
        <v>2218636241</v>
      </c>
      <c r="B327" t="s">
        <v>941</v>
      </c>
      <c r="C327">
        <v>4206125548</v>
      </c>
      <c r="E327" t="s">
        <v>697</v>
      </c>
    </row>
    <row r="328" spans="1:5" x14ac:dyDescent="0.2">
      <c r="A328">
        <v>2218636241</v>
      </c>
      <c r="B328" t="s">
        <v>941</v>
      </c>
      <c r="C328">
        <v>4206125548</v>
      </c>
      <c r="E328" t="s">
        <v>697</v>
      </c>
    </row>
    <row r="329" spans="1:5" x14ac:dyDescent="0.2">
      <c r="A329">
        <v>2218992524</v>
      </c>
      <c r="B329" t="s">
        <v>942</v>
      </c>
      <c r="C329">
        <v>3273928205</v>
      </c>
      <c r="E329" t="s">
        <v>508</v>
      </c>
    </row>
    <row r="330" spans="1:5" x14ac:dyDescent="0.2">
      <c r="A330">
        <v>2219054970</v>
      </c>
      <c r="B330" t="s">
        <v>943</v>
      </c>
      <c r="C330">
        <v>4206125548</v>
      </c>
      <c r="E330" t="s">
        <v>697</v>
      </c>
    </row>
    <row r="331" spans="1:5" x14ac:dyDescent="0.2">
      <c r="A331">
        <v>2219055050</v>
      </c>
      <c r="B331" t="s">
        <v>944</v>
      </c>
      <c r="C331">
        <v>4206125548</v>
      </c>
      <c r="E331" t="s">
        <v>697</v>
      </c>
    </row>
    <row r="332" spans="1:5" x14ac:dyDescent="0.2">
      <c r="A332">
        <v>2219137775</v>
      </c>
      <c r="B332" t="s">
        <v>945</v>
      </c>
      <c r="C332">
        <v>4206125548</v>
      </c>
      <c r="E332" t="s">
        <v>697</v>
      </c>
    </row>
    <row r="333" spans="1:5" x14ac:dyDescent="0.2">
      <c r="A333">
        <v>2219488971</v>
      </c>
      <c r="B333" t="s">
        <v>946</v>
      </c>
      <c r="C333">
        <v>4206125548</v>
      </c>
      <c r="E333" t="s">
        <v>697</v>
      </c>
    </row>
    <row r="334" spans="1:5" x14ac:dyDescent="0.2">
      <c r="A334">
        <v>2219640717</v>
      </c>
      <c r="B334" t="s">
        <v>947</v>
      </c>
      <c r="C334">
        <v>4206125548</v>
      </c>
      <c r="E334" t="s">
        <v>697</v>
      </c>
    </row>
    <row r="335" spans="1:5" x14ac:dyDescent="0.2">
      <c r="A335">
        <v>2219950800</v>
      </c>
      <c r="B335" t="s">
        <v>948</v>
      </c>
      <c r="C335">
        <v>2219950804</v>
      </c>
      <c r="E335" t="s">
        <v>552</v>
      </c>
    </row>
    <row r="336" spans="1:5" x14ac:dyDescent="0.2">
      <c r="A336">
        <v>2219950800</v>
      </c>
      <c r="B336" t="s">
        <v>948</v>
      </c>
      <c r="C336">
        <v>4206125548</v>
      </c>
      <c r="E336" t="s">
        <v>697</v>
      </c>
    </row>
    <row r="337" spans="1:5" x14ac:dyDescent="0.2">
      <c r="A337">
        <v>2220002329</v>
      </c>
      <c r="B337" t="s">
        <v>949</v>
      </c>
      <c r="C337">
        <v>4206125548</v>
      </c>
      <c r="E337" t="s">
        <v>697</v>
      </c>
    </row>
    <row r="338" spans="1:5" x14ac:dyDescent="0.2">
      <c r="A338">
        <v>2220002329</v>
      </c>
      <c r="B338" t="s">
        <v>949</v>
      </c>
      <c r="C338">
        <v>4206125548</v>
      </c>
      <c r="E338" t="s">
        <v>697</v>
      </c>
    </row>
    <row r="339" spans="1:5" x14ac:dyDescent="0.2">
      <c r="A339">
        <v>2220176911</v>
      </c>
      <c r="B339" t="s">
        <v>950</v>
      </c>
      <c r="C339">
        <v>2208237183</v>
      </c>
      <c r="E339" t="s">
        <v>534</v>
      </c>
    </row>
    <row r="340" spans="1:5" x14ac:dyDescent="0.2">
      <c r="A340">
        <v>2220176911</v>
      </c>
      <c r="B340" t="s">
        <v>950</v>
      </c>
      <c r="C340">
        <v>4206125548</v>
      </c>
      <c r="E340" t="s">
        <v>697</v>
      </c>
    </row>
    <row r="341" spans="1:5" x14ac:dyDescent="0.2">
      <c r="A341">
        <v>2220179225</v>
      </c>
      <c r="B341" t="s">
        <v>951</v>
      </c>
      <c r="C341">
        <v>2208237183</v>
      </c>
      <c r="E341" t="s">
        <v>534</v>
      </c>
    </row>
    <row r="342" spans="1:5" x14ac:dyDescent="0.2">
      <c r="A342">
        <v>2221740306</v>
      </c>
      <c r="B342" t="s">
        <v>952</v>
      </c>
      <c r="C342">
        <v>3132771504</v>
      </c>
      <c r="E342" t="s">
        <v>555</v>
      </c>
    </row>
    <row r="343" spans="1:5" x14ac:dyDescent="0.2">
      <c r="A343">
        <v>2223397689</v>
      </c>
      <c r="B343" t="s">
        <v>895</v>
      </c>
      <c r="C343">
        <v>4206125548</v>
      </c>
      <c r="E343" t="s">
        <v>697</v>
      </c>
    </row>
    <row r="344" spans="1:5" x14ac:dyDescent="0.2">
      <c r="A344">
        <v>2225057158</v>
      </c>
      <c r="B344" t="s">
        <v>953</v>
      </c>
      <c r="C344">
        <v>4206125548</v>
      </c>
      <c r="E344" t="s">
        <v>697</v>
      </c>
    </row>
    <row r="345" spans="1:5" x14ac:dyDescent="0.2">
      <c r="A345">
        <v>2226989860</v>
      </c>
      <c r="B345" t="s">
        <v>954</v>
      </c>
      <c r="C345">
        <v>2208237183</v>
      </c>
      <c r="E345" t="s">
        <v>534</v>
      </c>
    </row>
    <row r="346" spans="1:5" x14ac:dyDescent="0.2">
      <c r="A346">
        <v>2227530213</v>
      </c>
      <c r="B346" t="s">
        <v>955</v>
      </c>
      <c r="C346">
        <v>4206125548</v>
      </c>
      <c r="E346" t="s">
        <v>697</v>
      </c>
    </row>
    <row r="347" spans="1:5" x14ac:dyDescent="0.2">
      <c r="A347">
        <v>2227648446</v>
      </c>
      <c r="B347" t="s">
        <v>956</v>
      </c>
      <c r="C347">
        <v>4206125548</v>
      </c>
      <c r="E347" t="s">
        <v>697</v>
      </c>
    </row>
    <row r="348" spans="1:5" x14ac:dyDescent="0.2">
      <c r="A348">
        <v>2228270007</v>
      </c>
      <c r="B348" t="s">
        <v>957</v>
      </c>
      <c r="C348">
        <v>4206125548</v>
      </c>
      <c r="E348" t="s">
        <v>697</v>
      </c>
    </row>
    <row r="349" spans="1:5" x14ac:dyDescent="0.2">
      <c r="A349">
        <v>2228610499</v>
      </c>
      <c r="B349" t="s">
        <v>958</v>
      </c>
      <c r="C349">
        <v>4206125548</v>
      </c>
      <c r="E349" t="s">
        <v>697</v>
      </c>
    </row>
    <row r="350" spans="1:5" x14ac:dyDescent="0.2">
      <c r="A350">
        <v>2231565104</v>
      </c>
      <c r="B350" t="s">
        <v>959</v>
      </c>
      <c r="C350">
        <v>4206125548</v>
      </c>
      <c r="E350" t="s">
        <v>697</v>
      </c>
    </row>
    <row r="351" spans="1:5" x14ac:dyDescent="0.2">
      <c r="A351">
        <v>2232204621</v>
      </c>
      <c r="B351" t="s">
        <v>960</v>
      </c>
      <c r="C351">
        <v>4206125548</v>
      </c>
      <c r="E351" t="s">
        <v>697</v>
      </c>
    </row>
    <row r="352" spans="1:5" x14ac:dyDescent="0.2">
      <c r="A352">
        <v>2236004239</v>
      </c>
      <c r="B352" t="s">
        <v>961</v>
      </c>
      <c r="C352">
        <v>4206125548</v>
      </c>
      <c r="E352" t="s">
        <v>697</v>
      </c>
    </row>
    <row r="353" spans="1:5" x14ac:dyDescent="0.2">
      <c r="A353">
        <v>2236004239</v>
      </c>
      <c r="B353" t="s">
        <v>961</v>
      </c>
      <c r="C353">
        <v>4206125548</v>
      </c>
      <c r="E353" t="s">
        <v>697</v>
      </c>
    </row>
    <row r="354" spans="1:5" x14ac:dyDescent="0.2">
      <c r="A354">
        <v>2242246637</v>
      </c>
      <c r="B354" t="s">
        <v>962</v>
      </c>
      <c r="C354">
        <v>4005284604</v>
      </c>
      <c r="E354" t="s">
        <v>593</v>
      </c>
    </row>
    <row r="355" spans="1:5" x14ac:dyDescent="0.2">
      <c r="A355">
        <v>2242246637</v>
      </c>
      <c r="B355" t="s">
        <v>962</v>
      </c>
      <c r="C355">
        <v>4206125548</v>
      </c>
      <c r="E355" t="s">
        <v>697</v>
      </c>
    </row>
    <row r="356" spans="1:5" x14ac:dyDescent="0.2">
      <c r="A356">
        <v>3102894800</v>
      </c>
      <c r="B356" t="s">
        <v>963</v>
      </c>
      <c r="C356">
        <v>4206125548</v>
      </c>
      <c r="E356" t="s">
        <v>697</v>
      </c>
    </row>
    <row r="357" spans="1:5" x14ac:dyDescent="0.2">
      <c r="A357">
        <v>3104668093</v>
      </c>
      <c r="B357" t="s">
        <v>964</v>
      </c>
      <c r="C357">
        <v>4206125548</v>
      </c>
      <c r="E357" t="s">
        <v>697</v>
      </c>
    </row>
    <row r="358" spans="1:5" x14ac:dyDescent="0.2">
      <c r="A358">
        <v>3106775986</v>
      </c>
      <c r="B358" t="s">
        <v>965</v>
      </c>
      <c r="C358">
        <v>4206125548</v>
      </c>
      <c r="E358" t="s">
        <v>697</v>
      </c>
    </row>
    <row r="359" spans="1:5" x14ac:dyDescent="0.2">
      <c r="A359">
        <v>3110129077</v>
      </c>
      <c r="B359" t="s">
        <v>966</v>
      </c>
      <c r="C359">
        <v>4206125548</v>
      </c>
      <c r="E359" t="s">
        <v>697</v>
      </c>
    </row>
    <row r="360" spans="1:5" x14ac:dyDescent="0.2">
      <c r="A360">
        <v>3110264543</v>
      </c>
      <c r="B360" t="s">
        <v>967</v>
      </c>
      <c r="C360">
        <v>4206125548</v>
      </c>
      <c r="E360" t="s">
        <v>697</v>
      </c>
    </row>
    <row r="361" spans="1:5" x14ac:dyDescent="0.2">
      <c r="A361">
        <v>3110440628</v>
      </c>
      <c r="B361" t="s">
        <v>968</v>
      </c>
      <c r="C361">
        <v>4206125548</v>
      </c>
      <c r="E361" t="s">
        <v>697</v>
      </c>
    </row>
    <row r="362" spans="1:5" x14ac:dyDescent="0.2">
      <c r="A362">
        <v>3110984316</v>
      </c>
      <c r="B362" t="s">
        <v>969</v>
      </c>
      <c r="C362">
        <v>4460195143</v>
      </c>
      <c r="E362" t="s">
        <v>753</v>
      </c>
    </row>
    <row r="363" spans="1:5" x14ac:dyDescent="0.2">
      <c r="A363">
        <v>3110984316</v>
      </c>
      <c r="B363" t="s">
        <v>969</v>
      </c>
      <c r="C363">
        <v>4460195159</v>
      </c>
      <c r="E363" t="s">
        <v>777</v>
      </c>
    </row>
    <row r="364" spans="1:5" x14ac:dyDescent="0.2">
      <c r="A364">
        <v>3112792613</v>
      </c>
      <c r="B364" t="s">
        <v>970</v>
      </c>
      <c r="C364">
        <v>4206125548</v>
      </c>
      <c r="E364" t="s">
        <v>697</v>
      </c>
    </row>
    <row r="365" spans="1:5" x14ac:dyDescent="0.2">
      <c r="A365">
        <v>3113705776</v>
      </c>
      <c r="B365" t="s">
        <v>971</v>
      </c>
      <c r="C365">
        <v>4206125548</v>
      </c>
      <c r="E365" t="s">
        <v>697</v>
      </c>
    </row>
    <row r="366" spans="1:5" x14ac:dyDescent="0.2">
      <c r="A366">
        <v>3117621625</v>
      </c>
      <c r="B366" t="s">
        <v>972</v>
      </c>
      <c r="C366">
        <v>3132771504</v>
      </c>
      <c r="E366" t="s">
        <v>555</v>
      </c>
    </row>
    <row r="367" spans="1:5" x14ac:dyDescent="0.2">
      <c r="A367">
        <v>3117621625</v>
      </c>
      <c r="B367" t="s">
        <v>972</v>
      </c>
      <c r="C367">
        <v>4206125548</v>
      </c>
      <c r="E367" t="s">
        <v>697</v>
      </c>
    </row>
    <row r="368" spans="1:5" x14ac:dyDescent="0.2">
      <c r="A368">
        <v>3119906924</v>
      </c>
      <c r="B368" t="s">
        <v>973</v>
      </c>
      <c r="C368">
        <v>4206125548</v>
      </c>
      <c r="E368" t="s">
        <v>697</v>
      </c>
    </row>
    <row r="369" spans="1:5" x14ac:dyDescent="0.2">
      <c r="A369">
        <v>3121838260</v>
      </c>
      <c r="B369" t="s">
        <v>974</v>
      </c>
      <c r="C369">
        <v>4206125548</v>
      </c>
      <c r="E369" t="s">
        <v>697</v>
      </c>
    </row>
    <row r="370" spans="1:5" x14ac:dyDescent="0.2">
      <c r="A370">
        <v>3123046375</v>
      </c>
      <c r="B370" t="s">
        <v>975</v>
      </c>
      <c r="C370">
        <v>4206125548</v>
      </c>
      <c r="E370" t="s">
        <v>697</v>
      </c>
    </row>
    <row r="371" spans="1:5" x14ac:dyDescent="0.2">
      <c r="A371">
        <v>3123046375</v>
      </c>
      <c r="B371" t="s">
        <v>975</v>
      </c>
      <c r="C371">
        <v>4206125548</v>
      </c>
      <c r="E371" t="s">
        <v>697</v>
      </c>
    </row>
    <row r="372" spans="1:5" x14ac:dyDescent="0.2">
      <c r="A372">
        <v>3125900199</v>
      </c>
      <c r="B372" t="s">
        <v>976</v>
      </c>
      <c r="C372">
        <v>4206125548</v>
      </c>
      <c r="E372" t="s">
        <v>697</v>
      </c>
    </row>
    <row r="373" spans="1:5" x14ac:dyDescent="0.2">
      <c r="A373">
        <v>3127247701</v>
      </c>
      <c r="B373" t="s">
        <v>977</v>
      </c>
      <c r="C373">
        <v>4206125548</v>
      </c>
      <c r="E373" t="s">
        <v>697</v>
      </c>
    </row>
    <row r="374" spans="1:5" x14ac:dyDescent="0.2">
      <c r="A374">
        <v>3131711623</v>
      </c>
      <c r="B374" t="s">
        <v>978</v>
      </c>
      <c r="C374">
        <v>4206125548</v>
      </c>
      <c r="E374" t="s">
        <v>697</v>
      </c>
    </row>
    <row r="375" spans="1:5" x14ac:dyDescent="0.2">
      <c r="A375">
        <v>3132882275</v>
      </c>
      <c r="B375" t="s">
        <v>979</v>
      </c>
      <c r="C375">
        <v>4206125548</v>
      </c>
      <c r="E375" t="s">
        <v>697</v>
      </c>
    </row>
    <row r="376" spans="1:5" x14ac:dyDescent="0.2">
      <c r="A376">
        <v>3133051317</v>
      </c>
      <c r="B376" t="s">
        <v>980</v>
      </c>
      <c r="C376">
        <v>4206125548</v>
      </c>
      <c r="E376" t="s">
        <v>697</v>
      </c>
    </row>
    <row r="377" spans="1:5" x14ac:dyDescent="0.2">
      <c r="A377">
        <v>3133081357</v>
      </c>
      <c r="B377" t="s">
        <v>981</v>
      </c>
      <c r="C377">
        <v>4206125548</v>
      </c>
      <c r="E377" t="s">
        <v>697</v>
      </c>
    </row>
    <row r="378" spans="1:5" x14ac:dyDescent="0.2">
      <c r="A378">
        <v>3133448129</v>
      </c>
      <c r="B378" t="s">
        <v>982</v>
      </c>
      <c r="C378">
        <v>2204415417</v>
      </c>
      <c r="E378" t="s">
        <v>526</v>
      </c>
    </row>
    <row r="379" spans="1:5" x14ac:dyDescent="0.2">
      <c r="A379">
        <v>3133731283</v>
      </c>
      <c r="B379" t="s">
        <v>983</v>
      </c>
      <c r="C379">
        <v>4206125548</v>
      </c>
      <c r="E379" t="s">
        <v>697</v>
      </c>
    </row>
    <row r="380" spans="1:5" x14ac:dyDescent="0.2">
      <c r="A380">
        <v>3133893189</v>
      </c>
      <c r="B380" t="s">
        <v>984</v>
      </c>
      <c r="C380">
        <v>4206125548</v>
      </c>
      <c r="E380" t="s">
        <v>697</v>
      </c>
    </row>
    <row r="381" spans="1:5" x14ac:dyDescent="0.2">
      <c r="A381">
        <v>3134229508</v>
      </c>
      <c r="B381" t="s">
        <v>985</v>
      </c>
      <c r="C381">
        <v>4206125548</v>
      </c>
      <c r="E381" t="s">
        <v>697</v>
      </c>
    </row>
    <row r="382" spans="1:5" x14ac:dyDescent="0.2">
      <c r="A382">
        <v>3134460559</v>
      </c>
      <c r="B382" t="s">
        <v>986</v>
      </c>
      <c r="C382">
        <v>4206125548</v>
      </c>
      <c r="E382" t="s">
        <v>697</v>
      </c>
    </row>
    <row r="383" spans="1:5" x14ac:dyDescent="0.2">
      <c r="A383">
        <v>3134462198</v>
      </c>
      <c r="B383" t="s">
        <v>987</v>
      </c>
      <c r="C383">
        <v>4206125548</v>
      </c>
      <c r="E383" t="s">
        <v>697</v>
      </c>
    </row>
    <row r="384" spans="1:5" x14ac:dyDescent="0.2">
      <c r="A384">
        <v>3144738394</v>
      </c>
      <c r="B384" t="s">
        <v>988</v>
      </c>
      <c r="C384">
        <v>4206125548</v>
      </c>
      <c r="E384" t="s">
        <v>697</v>
      </c>
    </row>
    <row r="385" spans="1:5" x14ac:dyDescent="0.2">
      <c r="A385">
        <v>3146315995</v>
      </c>
      <c r="B385" t="s">
        <v>989</v>
      </c>
      <c r="C385">
        <v>4206125548</v>
      </c>
      <c r="E385" t="s">
        <v>697</v>
      </c>
    </row>
    <row r="386" spans="1:5" x14ac:dyDescent="0.2">
      <c r="A386">
        <v>3149698960</v>
      </c>
      <c r="B386" t="s">
        <v>990</v>
      </c>
      <c r="C386">
        <v>4206125548</v>
      </c>
      <c r="E386" t="s">
        <v>697</v>
      </c>
    </row>
    <row r="387" spans="1:5" x14ac:dyDescent="0.2">
      <c r="A387">
        <v>3149698960</v>
      </c>
      <c r="B387" t="s">
        <v>990</v>
      </c>
      <c r="C387">
        <v>4206125548</v>
      </c>
      <c r="E387" t="s">
        <v>697</v>
      </c>
    </row>
    <row r="388" spans="1:5" x14ac:dyDescent="0.2">
      <c r="A388">
        <v>3157671538</v>
      </c>
      <c r="B388" t="s">
        <v>991</v>
      </c>
      <c r="C388">
        <v>4206125548</v>
      </c>
      <c r="E388" t="s">
        <v>697</v>
      </c>
    </row>
    <row r="389" spans="1:5" x14ac:dyDescent="0.2">
      <c r="A389">
        <v>3192838116</v>
      </c>
      <c r="B389" t="s">
        <v>992</v>
      </c>
      <c r="C389">
        <v>4206125548</v>
      </c>
      <c r="E389" t="s">
        <v>697</v>
      </c>
    </row>
    <row r="390" spans="1:5" x14ac:dyDescent="0.2">
      <c r="A390">
        <v>3241031063</v>
      </c>
      <c r="B390" t="s">
        <v>993</v>
      </c>
      <c r="C390">
        <v>4206125548</v>
      </c>
      <c r="E390" t="s">
        <v>697</v>
      </c>
    </row>
    <row r="391" spans="1:5" x14ac:dyDescent="0.2">
      <c r="A391">
        <v>3247705449</v>
      </c>
      <c r="B391" t="s">
        <v>994</v>
      </c>
      <c r="C391">
        <v>4082376359</v>
      </c>
      <c r="E391" t="s">
        <v>681</v>
      </c>
    </row>
    <row r="392" spans="1:5" x14ac:dyDescent="0.2">
      <c r="A392">
        <v>3247705449</v>
      </c>
      <c r="B392" t="s">
        <v>994</v>
      </c>
      <c r="C392">
        <v>4206125548</v>
      </c>
      <c r="E392" t="s">
        <v>697</v>
      </c>
    </row>
    <row r="393" spans="1:5" x14ac:dyDescent="0.2">
      <c r="A393">
        <v>3269798379</v>
      </c>
      <c r="B393" t="s">
        <v>995</v>
      </c>
      <c r="C393">
        <v>4206125548</v>
      </c>
      <c r="E393" t="s">
        <v>697</v>
      </c>
    </row>
    <row r="394" spans="1:5" x14ac:dyDescent="0.2">
      <c r="A394">
        <v>3285826855</v>
      </c>
      <c r="B394" t="s">
        <v>996</v>
      </c>
      <c r="C394">
        <v>4206125548</v>
      </c>
      <c r="E394" t="s">
        <v>697</v>
      </c>
    </row>
    <row r="395" spans="1:5" x14ac:dyDescent="0.2">
      <c r="A395">
        <v>3294714040</v>
      </c>
      <c r="B395" t="s">
        <v>997</v>
      </c>
      <c r="C395">
        <v>4206125548</v>
      </c>
      <c r="E395" t="s">
        <v>697</v>
      </c>
    </row>
    <row r="396" spans="1:5" x14ac:dyDescent="0.2">
      <c r="A396">
        <v>3302147498</v>
      </c>
      <c r="B396" t="s">
        <v>998</v>
      </c>
      <c r="C396">
        <v>4206125548</v>
      </c>
      <c r="E396" t="s">
        <v>697</v>
      </c>
    </row>
    <row r="397" spans="1:5" x14ac:dyDescent="0.2">
      <c r="A397">
        <v>3331237698</v>
      </c>
      <c r="B397" t="s">
        <v>999</v>
      </c>
      <c r="C397">
        <v>4206125548</v>
      </c>
      <c r="E397" t="s">
        <v>697</v>
      </c>
    </row>
    <row r="398" spans="1:5" x14ac:dyDescent="0.2">
      <c r="A398">
        <v>3339642978</v>
      </c>
      <c r="B398" t="s">
        <v>1000</v>
      </c>
      <c r="C398">
        <v>2215908888</v>
      </c>
      <c r="E398" t="s">
        <v>175</v>
      </c>
    </row>
    <row r="399" spans="1:5" x14ac:dyDescent="0.2">
      <c r="A399">
        <v>3339642978</v>
      </c>
      <c r="B399" t="s">
        <v>1000</v>
      </c>
      <c r="C399">
        <v>3339642982</v>
      </c>
      <c r="E399" t="s">
        <v>586</v>
      </c>
    </row>
    <row r="400" spans="1:5" x14ac:dyDescent="0.2">
      <c r="A400">
        <v>3339642978</v>
      </c>
      <c r="B400" t="s">
        <v>1000</v>
      </c>
      <c r="C400">
        <v>3339642994</v>
      </c>
      <c r="E400" t="s">
        <v>171</v>
      </c>
    </row>
    <row r="401" spans="1:5" x14ac:dyDescent="0.2">
      <c r="A401">
        <v>3339642978</v>
      </c>
      <c r="B401" t="s">
        <v>1000</v>
      </c>
      <c r="C401">
        <v>4197322183</v>
      </c>
      <c r="E401" t="s">
        <v>695</v>
      </c>
    </row>
    <row r="402" spans="1:5" x14ac:dyDescent="0.2">
      <c r="A402">
        <v>3339642978</v>
      </c>
      <c r="B402" t="s">
        <v>1000</v>
      </c>
      <c r="C402">
        <v>4385845259</v>
      </c>
      <c r="E402" t="s">
        <v>745</v>
      </c>
    </row>
    <row r="403" spans="1:5" x14ac:dyDescent="0.2">
      <c r="A403">
        <v>3339642978</v>
      </c>
      <c r="B403" t="s">
        <v>1000</v>
      </c>
      <c r="C403">
        <v>4385845263</v>
      </c>
      <c r="E403" t="s">
        <v>746</v>
      </c>
    </row>
    <row r="404" spans="1:5" x14ac:dyDescent="0.2">
      <c r="A404">
        <v>3339642978</v>
      </c>
      <c r="B404" t="s">
        <v>1000</v>
      </c>
      <c r="C404">
        <v>4528097535</v>
      </c>
      <c r="E404" t="s">
        <v>807</v>
      </c>
    </row>
    <row r="405" spans="1:5" x14ac:dyDescent="0.2">
      <c r="A405">
        <v>3339642978</v>
      </c>
      <c r="B405" t="s">
        <v>1000</v>
      </c>
      <c r="C405">
        <v>4528097605</v>
      </c>
      <c r="E405" t="s">
        <v>806</v>
      </c>
    </row>
    <row r="406" spans="1:5" x14ac:dyDescent="0.2">
      <c r="A406">
        <v>3339642978</v>
      </c>
      <c r="B406" t="s">
        <v>1000</v>
      </c>
      <c r="C406">
        <v>4528097663</v>
      </c>
      <c r="E406" t="s">
        <v>805</v>
      </c>
    </row>
    <row r="407" spans="1:5" x14ac:dyDescent="0.2">
      <c r="A407">
        <v>3343137294</v>
      </c>
      <c r="B407" t="s">
        <v>1001</v>
      </c>
      <c r="C407">
        <v>4206125548</v>
      </c>
      <c r="E407" t="s">
        <v>697</v>
      </c>
    </row>
    <row r="408" spans="1:5" x14ac:dyDescent="0.2">
      <c r="A408">
        <v>3343548818</v>
      </c>
      <c r="B408" t="s">
        <v>1002</v>
      </c>
      <c r="C408">
        <v>4206125548</v>
      </c>
      <c r="E408" t="s">
        <v>697</v>
      </c>
    </row>
    <row r="409" spans="1:5" x14ac:dyDescent="0.2">
      <c r="A409">
        <v>3348247597</v>
      </c>
      <c r="B409" t="s">
        <v>1003</v>
      </c>
      <c r="C409">
        <v>4206125548</v>
      </c>
      <c r="E409" t="s">
        <v>697</v>
      </c>
    </row>
    <row r="410" spans="1:5" x14ac:dyDescent="0.2">
      <c r="A410">
        <v>3349607939</v>
      </c>
      <c r="B410" t="s">
        <v>1004</v>
      </c>
      <c r="C410">
        <v>4206125548</v>
      </c>
      <c r="E410" t="s">
        <v>697</v>
      </c>
    </row>
    <row r="411" spans="1:5" x14ac:dyDescent="0.2">
      <c r="A411">
        <v>3349607939</v>
      </c>
      <c r="B411" t="s">
        <v>1004</v>
      </c>
      <c r="C411">
        <v>4206125548</v>
      </c>
      <c r="E411" t="s">
        <v>697</v>
      </c>
    </row>
    <row r="412" spans="1:5" x14ac:dyDescent="0.2">
      <c r="A412">
        <v>3354329060</v>
      </c>
      <c r="B412" t="s">
        <v>1005</v>
      </c>
      <c r="C412">
        <v>4206125548</v>
      </c>
      <c r="E412" t="s">
        <v>697</v>
      </c>
    </row>
    <row r="413" spans="1:5" x14ac:dyDescent="0.2">
      <c r="A413">
        <v>3354329060</v>
      </c>
      <c r="B413" t="s">
        <v>1005</v>
      </c>
      <c r="C413">
        <v>4206125548</v>
      </c>
      <c r="E413" t="s">
        <v>697</v>
      </c>
    </row>
    <row r="414" spans="1:5" x14ac:dyDescent="0.2">
      <c r="A414">
        <v>3355371998</v>
      </c>
      <c r="B414" t="s">
        <v>1006</v>
      </c>
      <c r="C414">
        <v>4206125548</v>
      </c>
      <c r="E414" t="s">
        <v>697</v>
      </c>
    </row>
    <row r="415" spans="1:5" x14ac:dyDescent="0.2">
      <c r="A415">
        <v>3355376913</v>
      </c>
      <c r="B415" t="s">
        <v>1007</v>
      </c>
      <c r="C415">
        <v>4206125548</v>
      </c>
      <c r="E415" t="s">
        <v>697</v>
      </c>
    </row>
    <row r="416" spans="1:5" x14ac:dyDescent="0.2">
      <c r="A416">
        <v>3355376913</v>
      </c>
      <c r="B416" t="s">
        <v>1007</v>
      </c>
      <c r="C416">
        <v>4206125548</v>
      </c>
      <c r="E416" t="s">
        <v>697</v>
      </c>
    </row>
    <row r="417" spans="1:5" x14ac:dyDescent="0.2">
      <c r="A417">
        <v>3360770883</v>
      </c>
      <c r="B417" t="s">
        <v>1008</v>
      </c>
      <c r="C417">
        <v>4206125548</v>
      </c>
      <c r="E417" t="s">
        <v>697</v>
      </c>
    </row>
    <row r="418" spans="1:5" x14ac:dyDescent="0.2">
      <c r="A418">
        <v>3362034792</v>
      </c>
      <c r="B418" t="s">
        <v>1009</v>
      </c>
      <c r="C418">
        <v>4206125548</v>
      </c>
      <c r="E418" t="s">
        <v>697</v>
      </c>
    </row>
    <row r="419" spans="1:5" x14ac:dyDescent="0.2">
      <c r="A419">
        <v>3366556817</v>
      </c>
      <c r="B419" t="s">
        <v>1010</v>
      </c>
      <c r="C419">
        <v>3131294280</v>
      </c>
      <c r="E419" t="s">
        <v>560</v>
      </c>
    </row>
    <row r="420" spans="1:5" x14ac:dyDescent="0.2">
      <c r="A420">
        <v>3367048252</v>
      </c>
      <c r="B420" t="s">
        <v>1011</v>
      </c>
      <c r="C420">
        <v>4206125548</v>
      </c>
      <c r="E420" t="s">
        <v>697</v>
      </c>
    </row>
    <row r="421" spans="1:5" x14ac:dyDescent="0.2">
      <c r="A421">
        <v>3371172137</v>
      </c>
      <c r="B421" t="s">
        <v>1012</v>
      </c>
      <c r="C421">
        <v>4206125548</v>
      </c>
      <c r="E421" t="s">
        <v>697</v>
      </c>
    </row>
    <row r="422" spans="1:5" x14ac:dyDescent="0.2">
      <c r="A422">
        <v>3373928595</v>
      </c>
      <c r="B422" t="s">
        <v>1013</v>
      </c>
      <c r="C422">
        <v>4206125548</v>
      </c>
      <c r="E422" t="s">
        <v>697</v>
      </c>
    </row>
    <row r="423" spans="1:5" x14ac:dyDescent="0.2">
      <c r="A423">
        <v>3377332941</v>
      </c>
      <c r="B423" t="s">
        <v>1014</v>
      </c>
      <c r="C423">
        <v>2204415417</v>
      </c>
      <c r="E423" t="s">
        <v>526</v>
      </c>
    </row>
    <row r="424" spans="1:5" x14ac:dyDescent="0.2">
      <c r="A424">
        <v>3377332941</v>
      </c>
      <c r="B424" t="s">
        <v>1014</v>
      </c>
      <c r="C424">
        <v>4206125548</v>
      </c>
      <c r="E424" t="s">
        <v>697</v>
      </c>
    </row>
    <row r="425" spans="1:5" x14ac:dyDescent="0.2">
      <c r="A425">
        <v>3377993581</v>
      </c>
      <c r="B425" t="s">
        <v>1015</v>
      </c>
      <c r="C425">
        <v>4005344852</v>
      </c>
      <c r="E425" t="s">
        <v>606</v>
      </c>
    </row>
    <row r="426" spans="1:5" x14ac:dyDescent="0.2">
      <c r="A426">
        <v>3380070354</v>
      </c>
      <c r="B426" t="s">
        <v>1016</v>
      </c>
      <c r="C426">
        <v>4206125548</v>
      </c>
      <c r="E426" t="s">
        <v>697</v>
      </c>
    </row>
    <row r="427" spans="1:5" x14ac:dyDescent="0.2">
      <c r="A427">
        <v>3389402436</v>
      </c>
      <c r="B427" t="s">
        <v>1017</v>
      </c>
      <c r="C427">
        <v>4206125548</v>
      </c>
      <c r="E427" t="s">
        <v>697</v>
      </c>
    </row>
    <row r="428" spans="1:5" x14ac:dyDescent="0.2">
      <c r="A428">
        <v>3398857213</v>
      </c>
      <c r="B428" t="s">
        <v>1018</v>
      </c>
      <c r="C428">
        <v>4206125548</v>
      </c>
      <c r="E428" t="s">
        <v>697</v>
      </c>
    </row>
    <row r="429" spans="1:5" x14ac:dyDescent="0.2">
      <c r="A429">
        <v>3492047803</v>
      </c>
      <c r="B429" t="s">
        <v>1019</v>
      </c>
      <c r="C429">
        <v>4206125548</v>
      </c>
      <c r="E429" t="s">
        <v>697</v>
      </c>
    </row>
    <row r="430" spans="1:5" x14ac:dyDescent="0.2">
      <c r="A430">
        <v>3527856777</v>
      </c>
      <c r="B430" t="s">
        <v>1020</v>
      </c>
      <c r="C430">
        <v>4206125548</v>
      </c>
      <c r="E430" t="s">
        <v>697</v>
      </c>
    </row>
    <row r="431" spans="1:5" x14ac:dyDescent="0.2">
      <c r="A431">
        <v>3647411796</v>
      </c>
      <c r="B431" t="s">
        <v>1021</v>
      </c>
      <c r="C431">
        <v>4206125548</v>
      </c>
      <c r="E431" t="s">
        <v>697</v>
      </c>
    </row>
    <row r="432" spans="1:5" x14ac:dyDescent="0.2">
      <c r="A432">
        <v>3647411796</v>
      </c>
      <c r="B432" t="s">
        <v>1021</v>
      </c>
      <c r="C432">
        <v>4518446574</v>
      </c>
      <c r="E432" t="s">
        <v>811</v>
      </c>
    </row>
    <row r="433" spans="1:5" x14ac:dyDescent="0.2">
      <c r="A433">
        <v>3691180460</v>
      </c>
      <c r="B433" t="s">
        <v>1022</v>
      </c>
      <c r="C433">
        <v>4206125548</v>
      </c>
      <c r="E433" t="s">
        <v>697</v>
      </c>
    </row>
    <row r="434" spans="1:5" x14ac:dyDescent="0.2">
      <c r="A434">
        <v>3700551516</v>
      </c>
      <c r="B434" t="s">
        <v>1021</v>
      </c>
      <c r="C434">
        <v>4206125548</v>
      </c>
      <c r="E434" t="s">
        <v>697</v>
      </c>
    </row>
    <row r="435" spans="1:5" x14ac:dyDescent="0.2">
      <c r="A435">
        <v>3706324664</v>
      </c>
      <c r="B435" t="s">
        <v>1023</v>
      </c>
      <c r="C435">
        <v>4206125548</v>
      </c>
      <c r="E435" t="s">
        <v>697</v>
      </c>
    </row>
    <row r="436" spans="1:5" x14ac:dyDescent="0.2">
      <c r="A436">
        <v>3722567277</v>
      </c>
      <c r="B436" t="s">
        <v>1024</v>
      </c>
      <c r="C436">
        <v>4206125548</v>
      </c>
      <c r="E436" t="s">
        <v>697</v>
      </c>
    </row>
    <row r="437" spans="1:5" x14ac:dyDescent="0.2">
      <c r="A437">
        <v>3735014155</v>
      </c>
      <c r="B437" t="s">
        <v>1025</v>
      </c>
      <c r="C437">
        <v>4206125548</v>
      </c>
      <c r="E437" t="s">
        <v>697</v>
      </c>
    </row>
    <row r="438" spans="1:5" x14ac:dyDescent="0.2">
      <c r="A438">
        <v>3743658991</v>
      </c>
      <c r="B438" t="s">
        <v>1026</v>
      </c>
      <c r="C438">
        <v>4206125548</v>
      </c>
      <c r="E438" t="s">
        <v>697</v>
      </c>
    </row>
    <row r="439" spans="1:5" x14ac:dyDescent="0.2">
      <c r="A439">
        <v>3747315808</v>
      </c>
      <c r="B439" t="s">
        <v>1027</v>
      </c>
      <c r="C439">
        <v>4206125548</v>
      </c>
      <c r="E439" t="s">
        <v>697</v>
      </c>
    </row>
    <row r="440" spans="1:5" x14ac:dyDescent="0.2">
      <c r="A440">
        <v>3747702520</v>
      </c>
      <c r="B440" t="s">
        <v>1028</v>
      </c>
      <c r="C440">
        <v>4206125548</v>
      </c>
      <c r="E440" t="s">
        <v>697</v>
      </c>
    </row>
    <row r="441" spans="1:5" x14ac:dyDescent="0.2">
      <c r="A441">
        <v>3748215041</v>
      </c>
      <c r="B441" t="s">
        <v>1029</v>
      </c>
      <c r="C441">
        <v>4206125548</v>
      </c>
      <c r="E441" t="s">
        <v>697</v>
      </c>
    </row>
    <row r="442" spans="1:5" x14ac:dyDescent="0.2">
      <c r="A442">
        <v>3764660716</v>
      </c>
      <c r="B442" t="s">
        <v>1030</v>
      </c>
      <c r="C442">
        <v>4206125548</v>
      </c>
      <c r="E442" t="s">
        <v>697</v>
      </c>
    </row>
    <row r="443" spans="1:5" x14ac:dyDescent="0.2">
      <c r="A443">
        <v>3772772788</v>
      </c>
      <c r="B443" t="s">
        <v>1031</v>
      </c>
      <c r="C443">
        <v>4206125548</v>
      </c>
      <c r="E443" t="s">
        <v>697</v>
      </c>
    </row>
    <row r="444" spans="1:5" x14ac:dyDescent="0.2">
      <c r="A444">
        <v>3802762008</v>
      </c>
      <c r="B444" t="s">
        <v>1032</v>
      </c>
      <c r="C444">
        <v>3131294280</v>
      </c>
      <c r="E444" t="s">
        <v>560</v>
      </c>
    </row>
    <row r="445" spans="1:5" x14ac:dyDescent="0.2">
      <c r="A445">
        <v>3803509709</v>
      </c>
      <c r="B445" t="s">
        <v>1033</v>
      </c>
      <c r="C445">
        <v>4206125548</v>
      </c>
      <c r="E445" t="s">
        <v>697</v>
      </c>
    </row>
    <row r="446" spans="1:5" x14ac:dyDescent="0.2">
      <c r="A446">
        <v>3807532106</v>
      </c>
      <c r="B446" t="s">
        <v>1034</v>
      </c>
      <c r="C446">
        <v>3132771504</v>
      </c>
      <c r="E446" t="s">
        <v>555</v>
      </c>
    </row>
    <row r="447" spans="1:5" x14ac:dyDescent="0.2">
      <c r="A447">
        <v>3810596408</v>
      </c>
      <c r="B447" t="s">
        <v>1035</v>
      </c>
      <c r="C447">
        <v>4206125548</v>
      </c>
      <c r="E447" t="s">
        <v>697</v>
      </c>
    </row>
    <row r="448" spans="1:5" x14ac:dyDescent="0.2">
      <c r="A448">
        <v>3819951288</v>
      </c>
      <c r="B448" t="s">
        <v>1036</v>
      </c>
      <c r="C448">
        <v>4206125548</v>
      </c>
      <c r="E448" t="s">
        <v>697</v>
      </c>
    </row>
    <row r="449" spans="1:5" x14ac:dyDescent="0.2">
      <c r="A449">
        <v>3819951288</v>
      </c>
      <c r="B449" t="s">
        <v>1036</v>
      </c>
      <c r="C449">
        <v>4206125548</v>
      </c>
      <c r="E449" t="s">
        <v>697</v>
      </c>
    </row>
    <row r="450" spans="1:5" x14ac:dyDescent="0.2">
      <c r="A450">
        <v>3825505198</v>
      </c>
      <c r="B450" t="s">
        <v>1037</v>
      </c>
      <c r="C450">
        <v>4206125548</v>
      </c>
      <c r="E450" t="s">
        <v>697</v>
      </c>
    </row>
    <row r="451" spans="1:5" x14ac:dyDescent="0.2">
      <c r="A451">
        <v>3828288130</v>
      </c>
      <c r="B451" t="s">
        <v>1038</v>
      </c>
      <c r="C451">
        <v>4206125548</v>
      </c>
      <c r="E451" t="s">
        <v>697</v>
      </c>
    </row>
    <row r="452" spans="1:5" x14ac:dyDescent="0.2">
      <c r="A452">
        <v>3831630646</v>
      </c>
      <c r="B452" t="s">
        <v>1039</v>
      </c>
      <c r="C452">
        <v>3268963081</v>
      </c>
      <c r="E452" t="s">
        <v>489</v>
      </c>
    </row>
    <row r="453" spans="1:5" x14ac:dyDescent="0.2">
      <c r="A453">
        <v>3831630646</v>
      </c>
      <c r="B453" t="s">
        <v>1039</v>
      </c>
      <c r="C453">
        <v>3268957646</v>
      </c>
      <c r="E453" t="s">
        <v>301</v>
      </c>
    </row>
    <row r="454" spans="1:5" x14ac:dyDescent="0.2">
      <c r="A454">
        <v>3831630646</v>
      </c>
      <c r="B454" t="s">
        <v>1039</v>
      </c>
      <c r="C454">
        <v>4039263243</v>
      </c>
      <c r="E454" t="s">
        <v>290</v>
      </c>
    </row>
    <row r="455" spans="1:5" x14ac:dyDescent="0.2">
      <c r="A455">
        <v>3831630646</v>
      </c>
      <c r="B455" t="s">
        <v>1039</v>
      </c>
      <c r="C455">
        <v>4182860316</v>
      </c>
      <c r="E455" t="s">
        <v>713</v>
      </c>
    </row>
    <row r="456" spans="1:5" x14ac:dyDescent="0.2">
      <c r="A456">
        <v>3831630646</v>
      </c>
      <c r="B456" t="s">
        <v>1039</v>
      </c>
      <c r="C456">
        <v>3268954031</v>
      </c>
      <c r="E456" t="s">
        <v>277</v>
      </c>
    </row>
    <row r="457" spans="1:5" x14ac:dyDescent="0.2">
      <c r="A457">
        <v>3831630646</v>
      </c>
      <c r="B457" t="s">
        <v>1039</v>
      </c>
      <c r="C457">
        <v>3268958101</v>
      </c>
      <c r="E457" t="s">
        <v>495</v>
      </c>
    </row>
    <row r="458" spans="1:5" x14ac:dyDescent="0.2">
      <c r="A458">
        <v>3831630646</v>
      </c>
      <c r="B458" t="s">
        <v>1039</v>
      </c>
      <c r="C458">
        <v>3268882343</v>
      </c>
      <c r="E458" t="s">
        <v>563</v>
      </c>
    </row>
    <row r="459" spans="1:5" x14ac:dyDescent="0.2">
      <c r="A459">
        <v>3831630646</v>
      </c>
      <c r="B459" t="s">
        <v>1039</v>
      </c>
      <c r="C459">
        <v>3268954793</v>
      </c>
      <c r="E459" t="s">
        <v>492</v>
      </c>
    </row>
    <row r="460" spans="1:5" x14ac:dyDescent="0.2">
      <c r="A460">
        <v>3831630646</v>
      </c>
      <c r="B460" t="s">
        <v>1039</v>
      </c>
      <c r="C460">
        <v>3268903848</v>
      </c>
      <c r="E460" t="s">
        <v>68</v>
      </c>
    </row>
    <row r="461" spans="1:5" x14ac:dyDescent="0.2">
      <c r="A461">
        <v>3831630646</v>
      </c>
      <c r="B461" t="s">
        <v>1039</v>
      </c>
      <c r="C461">
        <v>3268955052</v>
      </c>
      <c r="E461" t="s">
        <v>66</v>
      </c>
    </row>
    <row r="462" spans="1:5" x14ac:dyDescent="0.2">
      <c r="A462">
        <v>3831630646</v>
      </c>
      <c r="B462" t="s">
        <v>1039</v>
      </c>
      <c r="C462">
        <v>3268952958</v>
      </c>
      <c r="E462" t="s">
        <v>516</v>
      </c>
    </row>
    <row r="463" spans="1:5" x14ac:dyDescent="0.2">
      <c r="A463">
        <v>3831630646</v>
      </c>
      <c r="B463" t="s">
        <v>1039</v>
      </c>
      <c r="C463">
        <v>4165299079</v>
      </c>
      <c r="E463" t="s">
        <v>496</v>
      </c>
    </row>
    <row r="464" spans="1:5" x14ac:dyDescent="0.2">
      <c r="A464">
        <v>3831630646</v>
      </c>
      <c r="B464" t="s">
        <v>1039</v>
      </c>
      <c r="C464">
        <v>4165299164</v>
      </c>
      <c r="E464" t="s">
        <v>497</v>
      </c>
    </row>
    <row r="465" spans="1:5" x14ac:dyDescent="0.2">
      <c r="A465">
        <v>3831630646</v>
      </c>
      <c r="B465" t="s">
        <v>1039</v>
      </c>
      <c r="C465">
        <v>4165299367</v>
      </c>
      <c r="E465" t="s">
        <v>498</v>
      </c>
    </row>
    <row r="466" spans="1:5" x14ac:dyDescent="0.2">
      <c r="A466">
        <v>3831630646</v>
      </c>
      <c r="B466" t="s">
        <v>1039</v>
      </c>
      <c r="C466">
        <v>3268935075</v>
      </c>
      <c r="E466" t="s">
        <v>79</v>
      </c>
    </row>
    <row r="467" spans="1:5" x14ac:dyDescent="0.2">
      <c r="A467">
        <v>3831630646</v>
      </c>
      <c r="B467" t="s">
        <v>1039</v>
      </c>
      <c r="C467">
        <v>3268953241</v>
      </c>
      <c r="E467" t="s">
        <v>98</v>
      </c>
    </row>
    <row r="468" spans="1:5" x14ac:dyDescent="0.2">
      <c r="A468">
        <v>3831630646</v>
      </c>
      <c r="B468" t="s">
        <v>1039</v>
      </c>
      <c r="C468">
        <v>3268973173</v>
      </c>
      <c r="E468" t="s">
        <v>278</v>
      </c>
    </row>
    <row r="469" spans="1:5" x14ac:dyDescent="0.2">
      <c r="A469">
        <v>3831630646</v>
      </c>
      <c r="B469" t="s">
        <v>1039</v>
      </c>
      <c r="C469">
        <v>3268972798</v>
      </c>
      <c r="E469" t="s">
        <v>294</v>
      </c>
    </row>
    <row r="470" spans="1:5" x14ac:dyDescent="0.2">
      <c r="A470">
        <v>3831630646</v>
      </c>
      <c r="B470" t="s">
        <v>1039</v>
      </c>
      <c r="C470">
        <v>3268937130</v>
      </c>
      <c r="E470" t="s">
        <v>493</v>
      </c>
    </row>
    <row r="471" spans="1:5" x14ac:dyDescent="0.2">
      <c r="A471">
        <v>3831630646</v>
      </c>
      <c r="B471" t="s">
        <v>1039</v>
      </c>
      <c r="C471">
        <v>3268937470</v>
      </c>
      <c r="E471" t="s">
        <v>494</v>
      </c>
    </row>
    <row r="472" spans="1:5" x14ac:dyDescent="0.2">
      <c r="A472">
        <v>3831630646</v>
      </c>
      <c r="B472" t="s">
        <v>1039</v>
      </c>
      <c r="C472">
        <v>4188136780</v>
      </c>
      <c r="E472" t="s">
        <v>292</v>
      </c>
    </row>
    <row r="473" spans="1:5" x14ac:dyDescent="0.2">
      <c r="A473">
        <v>3831630646</v>
      </c>
      <c r="B473" t="s">
        <v>1039</v>
      </c>
      <c r="C473">
        <v>4188135123</v>
      </c>
      <c r="E473" t="s">
        <v>714</v>
      </c>
    </row>
    <row r="474" spans="1:5" x14ac:dyDescent="0.2">
      <c r="A474">
        <v>3831630646</v>
      </c>
      <c r="B474" t="s">
        <v>1039</v>
      </c>
      <c r="C474">
        <v>4188136379</v>
      </c>
      <c r="E474" t="s">
        <v>296</v>
      </c>
    </row>
    <row r="475" spans="1:5" x14ac:dyDescent="0.2">
      <c r="A475">
        <v>3831630646</v>
      </c>
      <c r="B475" t="s">
        <v>1039</v>
      </c>
      <c r="C475">
        <v>3268954337</v>
      </c>
      <c r="E475" t="s">
        <v>52</v>
      </c>
    </row>
    <row r="476" spans="1:5" x14ac:dyDescent="0.2">
      <c r="A476">
        <v>3831630646</v>
      </c>
      <c r="B476" t="s">
        <v>1039</v>
      </c>
      <c r="C476">
        <v>4117658831</v>
      </c>
      <c r="E476" t="s">
        <v>710</v>
      </c>
    </row>
    <row r="477" spans="1:5" x14ac:dyDescent="0.2">
      <c r="A477">
        <v>3831630646</v>
      </c>
      <c r="B477" t="s">
        <v>1039</v>
      </c>
      <c r="C477">
        <v>3268935651</v>
      </c>
      <c r="E477" t="s">
        <v>97</v>
      </c>
    </row>
    <row r="478" spans="1:5" x14ac:dyDescent="0.2">
      <c r="A478">
        <v>3831630646</v>
      </c>
      <c r="B478" t="s">
        <v>1039</v>
      </c>
      <c r="C478">
        <v>3268959351</v>
      </c>
      <c r="E478" t="s">
        <v>208</v>
      </c>
    </row>
    <row r="479" spans="1:5" x14ac:dyDescent="0.2">
      <c r="A479">
        <v>3831630646</v>
      </c>
      <c r="B479" t="s">
        <v>1039</v>
      </c>
      <c r="C479">
        <v>3268960100</v>
      </c>
      <c r="E479" t="s">
        <v>487</v>
      </c>
    </row>
    <row r="480" spans="1:5" x14ac:dyDescent="0.2">
      <c r="A480">
        <v>3831630646</v>
      </c>
      <c r="B480" t="s">
        <v>1039</v>
      </c>
      <c r="C480">
        <v>3268962979</v>
      </c>
      <c r="E480" t="s">
        <v>488</v>
      </c>
    </row>
    <row r="481" spans="1:5" x14ac:dyDescent="0.2">
      <c r="A481">
        <v>3831630646</v>
      </c>
      <c r="B481" t="s">
        <v>1039</v>
      </c>
      <c r="C481">
        <v>3268966328</v>
      </c>
      <c r="E481" t="s">
        <v>490</v>
      </c>
    </row>
    <row r="482" spans="1:5" x14ac:dyDescent="0.2">
      <c r="A482">
        <v>3831630646</v>
      </c>
      <c r="B482" t="s">
        <v>1039</v>
      </c>
      <c r="C482">
        <v>3268953613</v>
      </c>
      <c r="E482" t="s">
        <v>100</v>
      </c>
    </row>
    <row r="483" spans="1:5" x14ac:dyDescent="0.2">
      <c r="A483">
        <v>3831630646</v>
      </c>
      <c r="B483" t="s">
        <v>1039</v>
      </c>
      <c r="C483">
        <v>4188134915</v>
      </c>
      <c r="E483" t="s">
        <v>692</v>
      </c>
    </row>
    <row r="484" spans="1:5" x14ac:dyDescent="0.2">
      <c r="A484">
        <v>3831630646</v>
      </c>
      <c r="B484" t="s">
        <v>1039</v>
      </c>
      <c r="C484">
        <v>4188136562</v>
      </c>
      <c r="E484" t="s">
        <v>715</v>
      </c>
    </row>
    <row r="485" spans="1:5" x14ac:dyDescent="0.2">
      <c r="A485">
        <v>3831630646</v>
      </c>
      <c r="B485" t="s">
        <v>1039</v>
      </c>
      <c r="C485">
        <v>3268884277</v>
      </c>
      <c r="E485" t="s">
        <v>62</v>
      </c>
    </row>
    <row r="486" spans="1:5" x14ac:dyDescent="0.2">
      <c r="A486">
        <v>3831630646</v>
      </c>
      <c r="B486" t="s">
        <v>1039</v>
      </c>
      <c r="C486">
        <v>3268884608</v>
      </c>
      <c r="E486" t="s">
        <v>64</v>
      </c>
    </row>
    <row r="487" spans="1:5" x14ac:dyDescent="0.2">
      <c r="A487">
        <v>3831630646</v>
      </c>
      <c r="B487" t="s">
        <v>1039</v>
      </c>
      <c r="C487">
        <v>2216096908</v>
      </c>
      <c r="E487" t="s">
        <v>70</v>
      </c>
    </row>
    <row r="488" spans="1:5" x14ac:dyDescent="0.2">
      <c r="A488">
        <v>3831630646</v>
      </c>
      <c r="B488" t="s">
        <v>1039</v>
      </c>
      <c r="C488">
        <v>4653925964</v>
      </c>
      <c r="E488" t="s">
        <v>853</v>
      </c>
    </row>
    <row r="489" spans="1:5" x14ac:dyDescent="0.2">
      <c r="A489">
        <v>3831630646</v>
      </c>
      <c r="B489" t="s">
        <v>1039</v>
      </c>
      <c r="C489">
        <v>4750846726</v>
      </c>
      <c r="E489" t="s">
        <v>852</v>
      </c>
    </row>
    <row r="490" spans="1:5" x14ac:dyDescent="0.2">
      <c r="A490">
        <v>3831630646</v>
      </c>
      <c r="B490" t="s">
        <v>1039</v>
      </c>
      <c r="C490">
        <v>4750846726</v>
      </c>
      <c r="E490" t="s">
        <v>852</v>
      </c>
    </row>
    <row r="491" spans="1:5" x14ac:dyDescent="0.2">
      <c r="A491">
        <v>3831630646</v>
      </c>
      <c r="B491" t="s">
        <v>1039</v>
      </c>
      <c r="C491">
        <v>4117658831</v>
      </c>
      <c r="E491" t="s">
        <v>710</v>
      </c>
    </row>
    <row r="492" spans="1:5" x14ac:dyDescent="0.2">
      <c r="A492">
        <v>3836405168</v>
      </c>
      <c r="B492" t="s">
        <v>1040</v>
      </c>
      <c r="C492">
        <v>4074774912</v>
      </c>
      <c r="E492" t="s">
        <v>654</v>
      </c>
    </row>
    <row r="493" spans="1:5" x14ac:dyDescent="0.2">
      <c r="A493">
        <v>3840977729</v>
      </c>
      <c r="B493" t="s">
        <v>1041</v>
      </c>
      <c r="C493">
        <v>4206125548</v>
      </c>
      <c r="E493" t="s">
        <v>697</v>
      </c>
    </row>
    <row r="494" spans="1:5" x14ac:dyDescent="0.2">
      <c r="A494">
        <v>3840977729</v>
      </c>
      <c r="B494" t="s">
        <v>1041</v>
      </c>
      <c r="C494">
        <v>4505548967</v>
      </c>
      <c r="E494" t="s">
        <v>816</v>
      </c>
    </row>
    <row r="495" spans="1:5" x14ac:dyDescent="0.2">
      <c r="A495">
        <v>3844946197</v>
      </c>
      <c r="B495" t="s">
        <v>1042</v>
      </c>
      <c r="C495">
        <v>4206125548</v>
      </c>
      <c r="E495" t="s">
        <v>697</v>
      </c>
    </row>
    <row r="496" spans="1:5" x14ac:dyDescent="0.2">
      <c r="A496">
        <v>3844947478</v>
      </c>
      <c r="B496" t="s">
        <v>1043</v>
      </c>
      <c r="C496">
        <v>3268952958</v>
      </c>
      <c r="E496" t="s">
        <v>516</v>
      </c>
    </row>
    <row r="497" spans="1:5" x14ac:dyDescent="0.2">
      <c r="A497">
        <v>3844947478</v>
      </c>
      <c r="B497" t="s">
        <v>1043</v>
      </c>
      <c r="C497">
        <v>3273916081</v>
      </c>
      <c r="E497" t="s">
        <v>517</v>
      </c>
    </row>
    <row r="498" spans="1:5" x14ac:dyDescent="0.2">
      <c r="A498">
        <v>3844947478</v>
      </c>
      <c r="B498" t="s">
        <v>1043</v>
      </c>
      <c r="C498">
        <v>3273917161</v>
      </c>
      <c r="E498" t="s">
        <v>518</v>
      </c>
    </row>
    <row r="499" spans="1:5" x14ac:dyDescent="0.2">
      <c r="A499">
        <v>3844947478</v>
      </c>
      <c r="B499" t="s">
        <v>1043</v>
      </c>
      <c r="C499">
        <v>3273931264</v>
      </c>
      <c r="E499" t="s">
        <v>599</v>
      </c>
    </row>
    <row r="500" spans="1:5" x14ac:dyDescent="0.2">
      <c r="A500">
        <v>3844947478</v>
      </c>
      <c r="B500" t="s">
        <v>1043</v>
      </c>
      <c r="C500">
        <v>3273932536</v>
      </c>
      <c r="E500" t="s">
        <v>510</v>
      </c>
    </row>
    <row r="501" spans="1:5" x14ac:dyDescent="0.2">
      <c r="A501">
        <v>3844947478</v>
      </c>
      <c r="B501" t="s">
        <v>1043</v>
      </c>
      <c r="C501">
        <v>3273932801</v>
      </c>
      <c r="E501" t="s">
        <v>137</v>
      </c>
    </row>
    <row r="502" spans="1:5" x14ac:dyDescent="0.2">
      <c r="A502">
        <v>3844947478</v>
      </c>
      <c r="B502" t="s">
        <v>1043</v>
      </c>
      <c r="C502">
        <v>3273932988</v>
      </c>
      <c r="E502" t="s">
        <v>511</v>
      </c>
    </row>
    <row r="503" spans="1:5" x14ac:dyDescent="0.2">
      <c r="A503">
        <v>3844947478</v>
      </c>
      <c r="B503" t="s">
        <v>1043</v>
      </c>
      <c r="C503">
        <v>3273956226</v>
      </c>
      <c r="E503" t="s">
        <v>512</v>
      </c>
    </row>
    <row r="504" spans="1:5" x14ac:dyDescent="0.2">
      <c r="A504">
        <v>3844947478</v>
      </c>
      <c r="B504" t="s">
        <v>1043</v>
      </c>
      <c r="C504">
        <v>3273956346</v>
      </c>
      <c r="E504" t="s">
        <v>598</v>
      </c>
    </row>
    <row r="505" spans="1:5" x14ac:dyDescent="0.2">
      <c r="A505">
        <v>3844947478</v>
      </c>
      <c r="B505" t="s">
        <v>1043</v>
      </c>
      <c r="C505">
        <v>3273956606</v>
      </c>
      <c r="E505" t="s">
        <v>142</v>
      </c>
    </row>
    <row r="506" spans="1:5" x14ac:dyDescent="0.2">
      <c r="A506">
        <v>3844947478</v>
      </c>
      <c r="B506" t="s">
        <v>1043</v>
      </c>
      <c r="C506">
        <v>3273956947</v>
      </c>
      <c r="E506" t="s">
        <v>514</v>
      </c>
    </row>
    <row r="507" spans="1:5" x14ac:dyDescent="0.2">
      <c r="A507">
        <v>3844947478</v>
      </c>
      <c r="B507" t="s">
        <v>1043</v>
      </c>
      <c r="C507">
        <v>3273957093</v>
      </c>
      <c r="E507" t="s">
        <v>145</v>
      </c>
    </row>
    <row r="508" spans="1:5" x14ac:dyDescent="0.2">
      <c r="A508">
        <v>3844947478</v>
      </c>
      <c r="B508" t="s">
        <v>1043</v>
      </c>
      <c r="C508">
        <v>3273957152</v>
      </c>
      <c r="E508" t="s">
        <v>147</v>
      </c>
    </row>
    <row r="509" spans="1:5" x14ac:dyDescent="0.2">
      <c r="A509">
        <v>3844947478</v>
      </c>
      <c r="B509" t="s">
        <v>1043</v>
      </c>
      <c r="C509">
        <v>3273957255</v>
      </c>
      <c r="E509" t="s">
        <v>515</v>
      </c>
    </row>
    <row r="510" spans="1:5" x14ac:dyDescent="0.2">
      <c r="A510">
        <v>3844947478</v>
      </c>
      <c r="B510" t="s">
        <v>1043</v>
      </c>
      <c r="C510">
        <v>3273957350</v>
      </c>
      <c r="E510" t="s">
        <v>150</v>
      </c>
    </row>
    <row r="511" spans="1:5" x14ac:dyDescent="0.2">
      <c r="A511">
        <v>3844947478</v>
      </c>
      <c r="B511" t="s">
        <v>1043</v>
      </c>
      <c r="C511">
        <v>3273957413</v>
      </c>
      <c r="E511" t="s">
        <v>153</v>
      </c>
    </row>
    <row r="512" spans="1:5" x14ac:dyDescent="0.2">
      <c r="A512">
        <v>3844947478</v>
      </c>
      <c r="B512" t="s">
        <v>1043</v>
      </c>
      <c r="C512">
        <v>3273957549</v>
      </c>
      <c r="E512" t="s">
        <v>155</v>
      </c>
    </row>
    <row r="513" spans="1:5" x14ac:dyDescent="0.2">
      <c r="A513">
        <v>3844947478</v>
      </c>
      <c r="B513" t="s">
        <v>1043</v>
      </c>
      <c r="C513">
        <v>4036678480</v>
      </c>
      <c r="E513" t="s">
        <v>509</v>
      </c>
    </row>
    <row r="514" spans="1:5" x14ac:dyDescent="0.2">
      <c r="A514">
        <v>3844947478</v>
      </c>
      <c r="B514" t="s">
        <v>1043</v>
      </c>
      <c r="C514">
        <v>4038141890</v>
      </c>
      <c r="E514" t="s">
        <v>160</v>
      </c>
    </row>
    <row r="515" spans="1:5" x14ac:dyDescent="0.2">
      <c r="A515">
        <v>3844947478</v>
      </c>
      <c r="B515" t="s">
        <v>1043</v>
      </c>
      <c r="C515">
        <v>4165309583</v>
      </c>
      <c r="E515" t="s">
        <v>690</v>
      </c>
    </row>
    <row r="516" spans="1:5" x14ac:dyDescent="0.2">
      <c r="A516">
        <v>3859869802</v>
      </c>
      <c r="B516" t="s">
        <v>1044</v>
      </c>
      <c r="C516">
        <v>4206125548</v>
      </c>
      <c r="E516" t="s">
        <v>697</v>
      </c>
    </row>
    <row r="517" spans="1:5" x14ac:dyDescent="0.2">
      <c r="A517">
        <v>3870127562</v>
      </c>
      <c r="B517" t="s">
        <v>1045</v>
      </c>
      <c r="C517">
        <v>4051098824</v>
      </c>
      <c r="E517" t="s">
        <v>666</v>
      </c>
    </row>
    <row r="518" spans="1:5" x14ac:dyDescent="0.2">
      <c r="A518">
        <v>3870127562</v>
      </c>
      <c r="B518" t="s">
        <v>1045</v>
      </c>
      <c r="C518">
        <v>4051101120</v>
      </c>
      <c r="E518" t="s">
        <v>664</v>
      </c>
    </row>
    <row r="519" spans="1:5" x14ac:dyDescent="0.2">
      <c r="A519">
        <v>3870127562</v>
      </c>
      <c r="B519" t="s">
        <v>1045</v>
      </c>
      <c r="C519">
        <v>3104428595</v>
      </c>
      <c r="E519" t="s">
        <v>554</v>
      </c>
    </row>
    <row r="520" spans="1:5" x14ac:dyDescent="0.2">
      <c r="A520">
        <v>3883171102</v>
      </c>
      <c r="B520" t="s">
        <v>1046</v>
      </c>
      <c r="C520">
        <v>4721850717</v>
      </c>
      <c r="E520" t="s">
        <v>871</v>
      </c>
    </row>
    <row r="521" spans="1:5" x14ac:dyDescent="0.2">
      <c r="A521">
        <v>3883171102</v>
      </c>
      <c r="B521" t="s">
        <v>1046</v>
      </c>
      <c r="C521">
        <v>4721850720</v>
      </c>
      <c r="E521" t="s">
        <v>872</v>
      </c>
    </row>
    <row r="522" spans="1:5" x14ac:dyDescent="0.2">
      <c r="A522">
        <v>3883171102</v>
      </c>
      <c r="B522" t="s">
        <v>1046</v>
      </c>
      <c r="C522">
        <v>4721850723</v>
      </c>
      <c r="E522" t="s">
        <v>873</v>
      </c>
    </row>
    <row r="523" spans="1:5" x14ac:dyDescent="0.2">
      <c r="A523">
        <v>3883171102</v>
      </c>
      <c r="B523" t="s">
        <v>1046</v>
      </c>
      <c r="C523">
        <v>4721850726</v>
      </c>
      <c r="E523" t="s">
        <v>874</v>
      </c>
    </row>
    <row r="524" spans="1:5" x14ac:dyDescent="0.2">
      <c r="A524">
        <v>3883171102</v>
      </c>
      <c r="B524" t="s">
        <v>1046</v>
      </c>
      <c r="C524">
        <v>4721850729</v>
      </c>
      <c r="E524" t="s">
        <v>850</v>
      </c>
    </row>
    <row r="525" spans="1:5" x14ac:dyDescent="0.2">
      <c r="A525">
        <v>3889668445</v>
      </c>
      <c r="B525" t="s">
        <v>1047</v>
      </c>
      <c r="C525">
        <v>3273957775</v>
      </c>
      <c r="E525" t="s">
        <v>165</v>
      </c>
    </row>
    <row r="526" spans="1:5" x14ac:dyDescent="0.2">
      <c r="A526">
        <v>3889668445</v>
      </c>
      <c r="B526" t="s">
        <v>1047</v>
      </c>
      <c r="C526">
        <v>3273957775</v>
      </c>
      <c r="E526" t="s">
        <v>165</v>
      </c>
    </row>
    <row r="527" spans="1:5" x14ac:dyDescent="0.2">
      <c r="A527">
        <v>3889672515</v>
      </c>
      <c r="B527" t="s">
        <v>1048</v>
      </c>
      <c r="C527">
        <v>4089613155</v>
      </c>
      <c r="E527" t="s">
        <v>520</v>
      </c>
    </row>
    <row r="528" spans="1:5" x14ac:dyDescent="0.2">
      <c r="A528">
        <v>3889868176</v>
      </c>
      <c r="B528" t="s">
        <v>1049</v>
      </c>
      <c r="C528">
        <v>3268967682</v>
      </c>
      <c r="E528" t="s">
        <v>579</v>
      </c>
    </row>
    <row r="529" spans="1:5" x14ac:dyDescent="0.2">
      <c r="A529">
        <v>3889868176</v>
      </c>
      <c r="B529" t="s">
        <v>1049</v>
      </c>
      <c r="C529">
        <v>3268968646</v>
      </c>
      <c r="E529" t="s">
        <v>578</v>
      </c>
    </row>
    <row r="530" spans="1:5" x14ac:dyDescent="0.2">
      <c r="A530">
        <v>3889868176</v>
      </c>
      <c r="B530" t="s">
        <v>1049</v>
      </c>
      <c r="C530">
        <v>3268969329</v>
      </c>
      <c r="E530" t="s">
        <v>491</v>
      </c>
    </row>
    <row r="531" spans="1:5" x14ac:dyDescent="0.2">
      <c r="A531">
        <v>3889868176</v>
      </c>
      <c r="B531" t="s">
        <v>1049</v>
      </c>
      <c r="C531">
        <v>4653925964</v>
      </c>
      <c r="E531" t="s">
        <v>853</v>
      </c>
    </row>
    <row r="532" spans="1:5" x14ac:dyDescent="0.2">
      <c r="A532">
        <v>3898191121</v>
      </c>
      <c r="B532" t="s">
        <v>937</v>
      </c>
      <c r="C532">
        <v>4206125548</v>
      </c>
      <c r="E532" t="s">
        <v>697</v>
      </c>
    </row>
    <row r="533" spans="1:5" x14ac:dyDescent="0.2">
      <c r="A533">
        <v>3919031374</v>
      </c>
      <c r="B533" t="s">
        <v>1050</v>
      </c>
      <c r="C533">
        <v>4206125548</v>
      </c>
      <c r="E533" t="s">
        <v>697</v>
      </c>
    </row>
    <row r="534" spans="1:5" x14ac:dyDescent="0.2">
      <c r="A534">
        <v>3935778053</v>
      </c>
      <c r="B534" t="s">
        <v>1051</v>
      </c>
      <c r="C534">
        <v>4206125548</v>
      </c>
      <c r="E534" t="s">
        <v>697</v>
      </c>
    </row>
    <row r="535" spans="1:5" x14ac:dyDescent="0.2">
      <c r="A535">
        <v>3936820720</v>
      </c>
      <c r="B535" t="s">
        <v>1052</v>
      </c>
      <c r="C535">
        <v>3339642994</v>
      </c>
      <c r="E535" t="s">
        <v>171</v>
      </c>
    </row>
    <row r="536" spans="1:5" x14ac:dyDescent="0.2">
      <c r="A536">
        <v>3936820720</v>
      </c>
      <c r="B536" t="s">
        <v>1052</v>
      </c>
      <c r="C536">
        <v>4009136322</v>
      </c>
      <c r="E536" t="s">
        <v>625</v>
      </c>
    </row>
    <row r="537" spans="1:5" x14ac:dyDescent="0.2">
      <c r="A537">
        <v>3936820720</v>
      </c>
      <c r="B537" t="s">
        <v>1052</v>
      </c>
      <c r="C537">
        <v>4089778466</v>
      </c>
      <c r="E537" t="s">
        <v>521</v>
      </c>
    </row>
    <row r="538" spans="1:5" x14ac:dyDescent="0.2">
      <c r="A538">
        <v>3936820720</v>
      </c>
      <c r="B538" t="s">
        <v>1052</v>
      </c>
      <c r="C538">
        <v>4089860313</v>
      </c>
      <c r="E538" t="s">
        <v>173</v>
      </c>
    </row>
    <row r="539" spans="1:5" x14ac:dyDescent="0.2">
      <c r="A539">
        <v>3936820720</v>
      </c>
      <c r="B539" t="s">
        <v>1052</v>
      </c>
      <c r="C539">
        <v>4090263721</v>
      </c>
      <c r="E539" t="s">
        <v>663</v>
      </c>
    </row>
    <row r="540" spans="1:5" x14ac:dyDescent="0.2">
      <c r="A540">
        <v>3936820720</v>
      </c>
      <c r="B540" t="s">
        <v>1052</v>
      </c>
      <c r="C540">
        <v>4090264093</v>
      </c>
      <c r="E540" t="s">
        <v>684</v>
      </c>
    </row>
    <row r="541" spans="1:5" x14ac:dyDescent="0.2">
      <c r="A541">
        <v>3936820720</v>
      </c>
      <c r="B541" t="s">
        <v>1052</v>
      </c>
      <c r="C541">
        <v>4440964227</v>
      </c>
      <c r="E541" t="s">
        <v>756</v>
      </c>
    </row>
    <row r="542" spans="1:5" x14ac:dyDescent="0.2">
      <c r="A542">
        <v>3936820720</v>
      </c>
      <c r="B542" t="s">
        <v>1052</v>
      </c>
      <c r="C542">
        <v>4440964235</v>
      </c>
      <c r="E542" t="s">
        <v>755</v>
      </c>
    </row>
    <row r="543" spans="1:5" x14ac:dyDescent="0.2">
      <c r="A543">
        <v>3936820720</v>
      </c>
      <c r="B543" t="s">
        <v>1052</v>
      </c>
      <c r="C543">
        <v>4440964241</v>
      </c>
      <c r="E543" t="s">
        <v>754</v>
      </c>
    </row>
    <row r="544" spans="1:5" x14ac:dyDescent="0.2">
      <c r="A544">
        <v>3936820720</v>
      </c>
      <c r="B544" t="s">
        <v>1052</v>
      </c>
      <c r="C544">
        <v>4440964247</v>
      </c>
      <c r="E544" t="s">
        <v>752</v>
      </c>
    </row>
    <row r="545" spans="1:5" x14ac:dyDescent="0.2">
      <c r="A545">
        <v>3939258529</v>
      </c>
      <c r="B545" t="s">
        <v>1053</v>
      </c>
      <c r="C545">
        <v>4206125548</v>
      </c>
      <c r="E545" t="s">
        <v>697</v>
      </c>
    </row>
    <row r="546" spans="1:5" x14ac:dyDescent="0.2">
      <c r="A546">
        <v>3939388541</v>
      </c>
      <c r="B546" t="s">
        <v>1054</v>
      </c>
      <c r="C546">
        <v>3273928880</v>
      </c>
      <c r="E546" t="s">
        <v>282</v>
      </c>
    </row>
    <row r="547" spans="1:5" x14ac:dyDescent="0.2">
      <c r="A547">
        <v>3939388541</v>
      </c>
      <c r="B547" t="s">
        <v>1054</v>
      </c>
      <c r="C547">
        <v>3273930176</v>
      </c>
      <c r="E547" t="s">
        <v>304</v>
      </c>
    </row>
    <row r="548" spans="1:5" x14ac:dyDescent="0.2">
      <c r="A548">
        <v>3941641553</v>
      </c>
      <c r="B548" t="s">
        <v>1055</v>
      </c>
      <c r="C548">
        <v>4165301240</v>
      </c>
      <c r="E548" t="s">
        <v>507</v>
      </c>
    </row>
    <row r="549" spans="1:5" x14ac:dyDescent="0.2">
      <c r="A549">
        <v>3944529148</v>
      </c>
      <c r="B549" t="s">
        <v>1056</v>
      </c>
      <c r="C549">
        <v>3273926175</v>
      </c>
      <c r="E549" t="s">
        <v>499</v>
      </c>
    </row>
    <row r="550" spans="1:5" x14ac:dyDescent="0.2">
      <c r="A550">
        <v>3960365529</v>
      </c>
      <c r="B550" t="s">
        <v>1057</v>
      </c>
      <c r="C550">
        <v>4206125548</v>
      </c>
      <c r="E550" t="s">
        <v>697</v>
      </c>
    </row>
    <row r="551" spans="1:5" x14ac:dyDescent="0.2">
      <c r="A551">
        <v>3970658637</v>
      </c>
      <c r="B551" t="s">
        <v>1058</v>
      </c>
      <c r="C551">
        <v>4206125548</v>
      </c>
      <c r="E551" t="s">
        <v>697</v>
      </c>
    </row>
    <row r="552" spans="1:5" x14ac:dyDescent="0.2">
      <c r="A552">
        <v>3983854118</v>
      </c>
      <c r="B552" t="s">
        <v>1059</v>
      </c>
      <c r="C552">
        <v>4206125548</v>
      </c>
      <c r="E552" t="s">
        <v>697</v>
      </c>
    </row>
    <row r="553" spans="1:5" x14ac:dyDescent="0.2">
      <c r="A553">
        <v>3990269914</v>
      </c>
      <c r="B553" t="s">
        <v>1060</v>
      </c>
      <c r="C553">
        <v>3273927945</v>
      </c>
      <c r="E553" t="s">
        <v>125</v>
      </c>
    </row>
    <row r="554" spans="1:5" x14ac:dyDescent="0.2">
      <c r="A554">
        <v>3990269914</v>
      </c>
      <c r="B554" t="s">
        <v>1060</v>
      </c>
      <c r="C554">
        <v>4263315053</v>
      </c>
      <c r="E554" t="s">
        <v>726</v>
      </c>
    </row>
    <row r="555" spans="1:5" x14ac:dyDescent="0.2">
      <c r="A555">
        <v>4004096237</v>
      </c>
      <c r="B555" t="s">
        <v>1061</v>
      </c>
      <c r="C555">
        <v>4206125548</v>
      </c>
      <c r="E555" t="s">
        <v>697</v>
      </c>
    </row>
    <row r="556" spans="1:5" x14ac:dyDescent="0.2">
      <c r="A556">
        <v>4004101308</v>
      </c>
      <c r="B556" t="s">
        <v>1061</v>
      </c>
      <c r="C556">
        <v>4206125548</v>
      </c>
      <c r="E556" t="s">
        <v>697</v>
      </c>
    </row>
    <row r="557" spans="1:5" x14ac:dyDescent="0.2">
      <c r="A557">
        <v>4005312331</v>
      </c>
      <c r="B557" t="s">
        <v>1062</v>
      </c>
      <c r="C557">
        <v>4125216362</v>
      </c>
      <c r="E557" t="s">
        <v>706</v>
      </c>
    </row>
    <row r="558" spans="1:5" x14ac:dyDescent="0.2">
      <c r="A558">
        <v>4005312331</v>
      </c>
      <c r="B558" t="s">
        <v>1062</v>
      </c>
      <c r="C558">
        <v>4125216364</v>
      </c>
      <c r="E558" t="s">
        <v>705</v>
      </c>
    </row>
    <row r="559" spans="1:5" x14ac:dyDescent="0.2">
      <c r="A559">
        <v>4005312331</v>
      </c>
      <c r="B559" t="s">
        <v>1062</v>
      </c>
      <c r="C559">
        <v>4209369284</v>
      </c>
      <c r="E559" t="s">
        <v>737</v>
      </c>
    </row>
    <row r="560" spans="1:5" x14ac:dyDescent="0.2">
      <c r="A560">
        <v>4007152793</v>
      </c>
      <c r="B560" t="s">
        <v>1063</v>
      </c>
      <c r="C560">
        <v>4007152801</v>
      </c>
      <c r="E560" t="s">
        <v>594</v>
      </c>
    </row>
    <row r="561" spans="1:5" x14ac:dyDescent="0.2">
      <c r="A561">
        <v>4007817542</v>
      </c>
      <c r="B561" t="s">
        <v>1064</v>
      </c>
      <c r="C561">
        <v>4482434456</v>
      </c>
      <c r="E561" t="s">
        <v>819</v>
      </c>
    </row>
    <row r="562" spans="1:5" x14ac:dyDescent="0.2">
      <c r="A562">
        <v>4009136311</v>
      </c>
      <c r="B562" t="s">
        <v>1065</v>
      </c>
      <c r="C562">
        <v>4009136322</v>
      </c>
      <c r="E562" t="s">
        <v>625</v>
      </c>
    </row>
    <row r="563" spans="1:5" x14ac:dyDescent="0.2">
      <c r="A563">
        <v>4023349609</v>
      </c>
      <c r="B563" t="s">
        <v>1066</v>
      </c>
      <c r="C563">
        <v>4309121818</v>
      </c>
      <c r="E563" t="s">
        <v>718</v>
      </c>
    </row>
    <row r="564" spans="1:5" x14ac:dyDescent="0.2">
      <c r="A564">
        <v>4023349609</v>
      </c>
      <c r="B564" t="s">
        <v>1066</v>
      </c>
      <c r="C564">
        <v>4309121821</v>
      </c>
      <c r="E564" t="s">
        <v>719</v>
      </c>
    </row>
    <row r="565" spans="1:5" x14ac:dyDescent="0.2">
      <c r="A565">
        <v>4023349609</v>
      </c>
      <c r="B565" t="s">
        <v>1066</v>
      </c>
      <c r="C565">
        <v>4309121824</v>
      </c>
      <c r="E565" t="s">
        <v>738</v>
      </c>
    </row>
    <row r="566" spans="1:5" x14ac:dyDescent="0.2">
      <c r="A566">
        <v>4023349609</v>
      </c>
      <c r="B566" t="s">
        <v>1066</v>
      </c>
      <c r="C566">
        <v>4309121854</v>
      </c>
      <c r="E566" t="s">
        <v>739</v>
      </c>
    </row>
    <row r="567" spans="1:5" x14ac:dyDescent="0.2">
      <c r="A567">
        <v>4023349609</v>
      </c>
      <c r="B567" t="s">
        <v>1066</v>
      </c>
      <c r="C567">
        <v>4309121857</v>
      </c>
      <c r="E567" t="s">
        <v>740</v>
      </c>
    </row>
    <row r="568" spans="1:5" x14ac:dyDescent="0.2">
      <c r="A568">
        <v>4023349609</v>
      </c>
      <c r="B568" t="s">
        <v>1066</v>
      </c>
      <c r="C568">
        <v>4309121860</v>
      </c>
      <c r="E568" t="s">
        <v>741</v>
      </c>
    </row>
    <row r="569" spans="1:5" x14ac:dyDescent="0.2">
      <c r="A569">
        <v>4027092584</v>
      </c>
      <c r="B569" t="s">
        <v>1067</v>
      </c>
      <c r="C569">
        <v>4206125548</v>
      </c>
      <c r="E569" t="s">
        <v>697</v>
      </c>
    </row>
    <row r="570" spans="1:5" x14ac:dyDescent="0.2">
      <c r="A570">
        <v>4036679593</v>
      </c>
      <c r="B570" t="s">
        <v>1068</v>
      </c>
      <c r="C570">
        <v>4206125548</v>
      </c>
      <c r="E570" t="s">
        <v>697</v>
      </c>
    </row>
    <row r="571" spans="1:5" x14ac:dyDescent="0.2">
      <c r="A571">
        <v>4036679593</v>
      </c>
      <c r="B571" t="s">
        <v>1068</v>
      </c>
      <c r="C571">
        <v>4206125548</v>
      </c>
      <c r="E571" t="s">
        <v>697</v>
      </c>
    </row>
    <row r="572" spans="1:5" x14ac:dyDescent="0.2">
      <c r="A572">
        <v>4041204023</v>
      </c>
      <c r="B572" t="s">
        <v>1069</v>
      </c>
      <c r="C572">
        <v>4044379611</v>
      </c>
      <c r="E572" t="s">
        <v>674</v>
      </c>
    </row>
    <row r="573" spans="1:5" x14ac:dyDescent="0.2">
      <c r="A573">
        <v>4042214954</v>
      </c>
      <c r="B573" t="s">
        <v>1070</v>
      </c>
      <c r="C573">
        <v>3273929861</v>
      </c>
      <c r="E573" t="s">
        <v>307</v>
      </c>
    </row>
    <row r="574" spans="1:5" x14ac:dyDescent="0.2">
      <c r="A574">
        <v>4051745915</v>
      </c>
      <c r="B574" t="s">
        <v>1071</v>
      </c>
      <c r="C574">
        <v>4050706919</v>
      </c>
      <c r="E574" t="s">
        <v>672</v>
      </c>
    </row>
    <row r="575" spans="1:5" x14ac:dyDescent="0.2">
      <c r="A575">
        <v>4051745915</v>
      </c>
      <c r="B575" t="s">
        <v>1071</v>
      </c>
      <c r="C575">
        <v>4050707672</v>
      </c>
      <c r="E575" t="s">
        <v>670</v>
      </c>
    </row>
    <row r="576" spans="1:5" x14ac:dyDescent="0.2">
      <c r="A576">
        <v>4051746496</v>
      </c>
      <c r="B576" t="s">
        <v>1072</v>
      </c>
      <c r="C576">
        <v>4050707807</v>
      </c>
      <c r="E576" t="s">
        <v>668</v>
      </c>
    </row>
    <row r="577" spans="1:5" x14ac:dyDescent="0.2">
      <c r="A577">
        <v>4051746496</v>
      </c>
      <c r="B577" t="s">
        <v>1072</v>
      </c>
      <c r="C577">
        <v>2224360469</v>
      </c>
      <c r="E577" t="s">
        <v>60</v>
      </c>
    </row>
    <row r="578" spans="1:5" x14ac:dyDescent="0.2">
      <c r="A578">
        <v>4057867233</v>
      </c>
      <c r="B578" t="s">
        <v>1073</v>
      </c>
      <c r="C578">
        <v>4438715482</v>
      </c>
      <c r="E578" t="s">
        <v>757</v>
      </c>
    </row>
    <row r="579" spans="1:5" x14ac:dyDescent="0.2">
      <c r="A579">
        <v>4074776059</v>
      </c>
      <c r="B579" t="s">
        <v>1074</v>
      </c>
      <c r="C579">
        <v>4074778449</v>
      </c>
      <c r="E579" t="s">
        <v>655</v>
      </c>
    </row>
    <row r="580" spans="1:5" x14ac:dyDescent="0.2">
      <c r="A580">
        <v>4074776059</v>
      </c>
      <c r="B580" t="s">
        <v>1074</v>
      </c>
      <c r="C580">
        <v>4090367887</v>
      </c>
      <c r="E580" t="s">
        <v>687</v>
      </c>
    </row>
    <row r="581" spans="1:5" x14ac:dyDescent="0.2">
      <c r="A581">
        <v>4074776059</v>
      </c>
      <c r="B581" t="s">
        <v>1074</v>
      </c>
      <c r="C581">
        <v>4074774912</v>
      </c>
      <c r="E581" t="s">
        <v>654</v>
      </c>
    </row>
    <row r="582" spans="1:5" x14ac:dyDescent="0.2">
      <c r="A582">
        <v>4074776059</v>
      </c>
      <c r="B582" t="s">
        <v>1074</v>
      </c>
      <c r="C582">
        <v>4074777234</v>
      </c>
      <c r="E582" t="s">
        <v>679</v>
      </c>
    </row>
    <row r="583" spans="1:5" x14ac:dyDescent="0.2">
      <c r="A583">
        <v>4074776059</v>
      </c>
      <c r="B583" t="s">
        <v>1074</v>
      </c>
      <c r="C583">
        <v>4090347683</v>
      </c>
      <c r="E583" t="s">
        <v>665</v>
      </c>
    </row>
    <row r="584" spans="1:5" x14ac:dyDescent="0.2">
      <c r="A584">
        <v>4075651848</v>
      </c>
      <c r="B584" t="s">
        <v>1075</v>
      </c>
      <c r="C584">
        <v>4075651333</v>
      </c>
      <c r="E584" t="s">
        <v>680</v>
      </c>
    </row>
    <row r="585" spans="1:5" x14ac:dyDescent="0.2">
      <c r="A585">
        <v>4082599965</v>
      </c>
      <c r="B585" t="s">
        <v>1076</v>
      </c>
      <c r="C585">
        <v>4206125548</v>
      </c>
      <c r="E585" t="s">
        <v>697</v>
      </c>
    </row>
    <row r="586" spans="1:5" x14ac:dyDescent="0.2">
      <c r="A586">
        <v>4109636131</v>
      </c>
      <c r="B586" t="s">
        <v>1077</v>
      </c>
      <c r="C586">
        <v>4225981896</v>
      </c>
      <c r="E586" t="s">
        <v>735</v>
      </c>
    </row>
    <row r="587" spans="1:5" x14ac:dyDescent="0.2">
      <c r="A587">
        <v>4109985197</v>
      </c>
      <c r="B587" t="s">
        <v>1078</v>
      </c>
      <c r="C587">
        <v>4118453595</v>
      </c>
      <c r="E587" t="s">
        <v>708</v>
      </c>
    </row>
    <row r="588" spans="1:5" x14ac:dyDescent="0.2">
      <c r="A588">
        <v>4118452390</v>
      </c>
      <c r="B588" t="s">
        <v>1079</v>
      </c>
      <c r="C588">
        <v>4658676133</v>
      </c>
      <c r="E588" t="s">
        <v>845</v>
      </c>
    </row>
    <row r="589" spans="1:5" x14ac:dyDescent="0.2">
      <c r="A589">
        <v>4130997835</v>
      </c>
      <c r="B589" t="s">
        <v>1080</v>
      </c>
      <c r="C589">
        <v>4206125548</v>
      </c>
      <c r="E589" t="s">
        <v>697</v>
      </c>
    </row>
    <row r="590" spans="1:5" x14ac:dyDescent="0.2">
      <c r="A590">
        <v>4155652517</v>
      </c>
      <c r="B590" t="s">
        <v>1081</v>
      </c>
      <c r="C590">
        <v>3268952234</v>
      </c>
      <c r="E590" t="s">
        <v>17</v>
      </c>
    </row>
    <row r="591" spans="1:5" x14ac:dyDescent="0.2">
      <c r="A591">
        <v>4155652517</v>
      </c>
      <c r="B591" t="s">
        <v>1081</v>
      </c>
      <c r="C591">
        <v>3273927548</v>
      </c>
      <c r="E591" t="s">
        <v>503</v>
      </c>
    </row>
    <row r="592" spans="1:5" x14ac:dyDescent="0.2">
      <c r="A592">
        <v>4155652517</v>
      </c>
      <c r="B592" t="s">
        <v>1081</v>
      </c>
      <c r="C592">
        <v>3268952432</v>
      </c>
      <c r="E592" t="s">
        <v>12</v>
      </c>
    </row>
    <row r="593" spans="1:5" x14ac:dyDescent="0.2">
      <c r="A593">
        <v>4169913548</v>
      </c>
      <c r="B593" t="s">
        <v>1082</v>
      </c>
      <c r="C593">
        <v>4206125548</v>
      </c>
      <c r="E593" t="s">
        <v>697</v>
      </c>
    </row>
    <row r="594" spans="1:5" x14ac:dyDescent="0.2">
      <c r="A594">
        <v>4176469218</v>
      </c>
      <c r="B594" t="s">
        <v>1083</v>
      </c>
      <c r="C594">
        <v>4477916556</v>
      </c>
      <c r="E594" t="s">
        <v>796</v>
      </c>
    </row>
    <row r="595" spans="1:5" x14ac:dyDescent="0.2">
      <c r="A595">
        <v>4176874133</v>
      </c>
      <c r="B595" t="s">
        <v>1084</v>
      </c>
      <c r="C595">
        <v>4515167392</v>
      </c>
      <c r="E595" t="s">
        <v>815</v>
      </c>
    </row>
    <row r="596" spans="1:5" x14ac:dyDescent="0.2">
      <c r="A596">
        <v>4182150252</v>
      </c>
      <c r="B596" t="s">
        <v>1085</v>
      </c>
      <c r="C596">
        <v>4206125548</v>
      </c>
      <c r="E596" t="s">
        <v>697</v>
      </c>
    </row>
    <row r="597" spans="1:5" x14ac:dyDescent="0.2">
      <c r="A597">
        <v>4189443106</v>
      </c>
      <c r="B597" t="s">
        <v>970</v>
      </c>
      <c r="C597">
        <v>4206125548</v>
      </c>
      <c r="E597" t="s">
        <v>697</v>
      </c>
    </row>
    <row r="598" spans="1:5" x14ac:dyDescent="0.2">
      <c r="A598">
        <v>4190416119</v>
      </c>
      <c r="B598" t="s">
        <v>1086</v>
      </c>
      <c r="C598">
        <v>2204415417</v>
      </c>
      <c r="E598" t="s">
        <v>526</v>
      </c>
    </row>
    <row r="599" spans="1:5" x14ac:dyDescent="0.2">
      <c r="A599">
        <v>4194141170</v>
      </c>
      <c r="B599" t="s">
        <v>1087</v>
      </c>
      <c r="C599">
        <v>3268859330</v>
      </c>
      <c r="E599" t="s">
        <v>13</v>
      </c>
    </row>
    <row r="600" spans="1:5" x14ac:dyDescent="0.2">
      <c r="A600">
        <v>4194141170</v>
      </c>
      <c r="B600" t="s">
        <v>1087</v>
      </c>
      <c r="C600">
        <v>3268967682</v>
      </c>
      <c r="E600" t="s">
        <v>579</v>
      </c>
    </row>
    <row r="601" spans="1:5" x14ac:dyDescent="0.2">
      <c r="A601">
        <v>4194141170</v>
      </c>
      <c r="B601" t="s">
        <v>1087</v>
      </c>
      <c r="C601">
        <v>3268968646</v>
      </c>
      <c r="E601" t="s">
        <v>578</v>
      </c>
    </row>
    <row r="602" spans="1:5" x14ac:dyDescent="0.2">
      <c r="A602">
        <v>4194141170</v>
      </c>
      <c r="B602" t="s">
        <v>1087</v>
      </c>
      <c r="C602">
        <v>3268969329</v>
      </c>
      <c r="E602" t="s">
        <v>491</v>
      </c>
    </row>
    <row r="603" spans="1:5" x14ac:dyDescent="0.2">
      <c r="A603">
        <v>4194141170</v>
      </c>
      <c r="B603" t="s">
        <v>1087</v>
      </c>
      <c r="C603">
        <v>4221994417</v>
      </c>
      <c r="E603" t="s">
        <v>736</v>
      </c>
    </row>
    <row r="604" spans="1:5" x14ac:dyDescent="0.2">
      <c r="A604">
        <v>4194141170</v>
      </c>
      <c r="B604" t="s">
        <v>1087</v>
      </c>
      <c r="C604">
        <v>4236813465</v>
      </c>
      <c r="E604" t="s">
        <v>731</v>
      </c>
    </row>
    <row r="605" spans="1:5" x14ac:dyDescent="0.2">
      <c r="A605">
        <v>4206725858</v>
      </c>
      <c r="B605" t="s">
        <v>1088</v>
      </c>
      <c r="C605">
        <v>4206125548</v>
      </c>
      <c r="E605" t="s">
        <v>697</v>
      </c>
    </row>
    <row r="606" spans="1:5" x14ac:dyDescent="0.2">
      <c r="A606">
        <v>4234612508</v>
      </c>
      <c r="B606" t="s">
        <v>1028</v>
      </c>
      <c r="C606">
        <v>4206125548</v>
      </c>
      <c r="E606" t="s">
        <v>697</v>
      </c>
    </row>
    <row r="607" spans="1:5" x14ac:dyDescent="0.2">
      <c r="A607">
        <v>4234612508</v>
      </c>
      <c r="B607" t="s">
        <v>1028</v>
      </c>
      <c r="C607">
        <v>4206125548</v>
      </c>
      <c r="E607" t="s">
        <v>697</v>
      </c>
    </row>
    <row r="608" spans="1:5" x14ac:dyDescent="0.2">
      <c r="A608">
        <v>4240906917</v>
      </c>
      <c r="B608" t="s">
        <v>1089</v>
      </c>
      <c r="C608">
        <v>4206125548</v>
      </c>
      <c r="E608" t="s">
        <v>697</v>
      </c>
    </row>
    <row r="609" spans="1:5" x14ac:dyDescent="0.2">
      <c r="A609">
        <v>4243126361</v>
      </c>
      <c r="B609" t="s">
        <v>1090</v>
      </c>
      <c r="C609">
        <v>4206125548</v>
      </c>
      <c r="E609" t="s">
        <v>697</v>
      </c>
    </row>
    <row r="610" spans="1:5" x14ac:dyDescent="0.2">
      <c r="A610">
        <v>4247141159</v>
      </c>
      <c r="B610" t="s">
        <v>1091</v>
      </c>
      <c r="C610">
        <v>4124507925</v>
      </c>
      <c r="E610" t="s">
        <v>707</v>
      </c>
    </row>
    <row r="611" spans="1:5" x14ac:dyDescent="0.2">
      <c r="A611">
        <v>4247141159</v>
      </c>
      <c r="B611" t="s">
        <v>1091</v>
      </c>
      <c r="C611">
        <v>4539882696</v>
      </c>
      <c r="E611" t="s">
        <v>804</v>
      </c>
    </row>
    <row r="612" spans="1:5" x14ac:dyDescent="0.2">
      <c r="A612">
        <v>4247372736</v>
      </c>
      <c r="B612" t="s">
        <v>1092</v>
      </c>
      <c r="C612">
        <v>4206125548</v>
      </c>
      <c r="E612" t="s">
        <v>697</v>
      </c>
    </row>
    <row r="613" spans="1:5" x14ac:dyDescent="0.2">
      <c r="A613">
        <v>4247919644</v>
      </c>
      <c r="B613" t="s">
        <v>1093</v>
      </c>
      <c r="C613">
        <v>3273928405</v>
      </c>
      <c r="E613" t="s">
        <v>308</v>
      </c>
    </row>
    <row r="614" spans="1:5" x14ac:dyDescent="0.2">
      <c r="A614">
        <v>4247988331</v>
      </c>
      <c r="B614" t="s">
        <v>1094</v>
      </c>
      <c r="C614">
        <v>4206125548</v>
      </c>
      <c r="E614" t="s">
        <v>697</v>
      </c>
    </row>
    <row r="615" spans="1:5" x14ac:dyDescent="0.2">
      <c r="A615">
        <v>4264718244</v>
      </c>
      <c r="B615" t="s">
        <v>1095</v>
      </c>
      <c r="C615">
        <v>4206125548</v>
      </c>
      <c r="E615" t="s">
        <v>697</v>
      </c>
    </row>
    <row r="616" spans="1:5" x14ac:dyDescent="0.2">
      <c r="A616">
        <v>4267880757</v>
      </c>
      <c r="B616" t="s">
        <v>1096</v>
      </c>
      <c r="C616">
        <v>4206125548</v>
      </c>
      <c r="E616" t="s">
        <v>697</v>
      </c>
    </row>
    <row r="617" spans="1:5" x14ac:dyDescent="0.2">
      <c r="A617">
        <v>4267880757</v>
      </c>
      <c r="B617" t="s">
        <v>1096</v>
      </c>
      <c r="C617">
        <v>4206125548</v>
      </c>
      <c r="E617" t="s">
        <v>697</v>
      </c>
    </row>
    <row r="618" spans="1:5" x14ac:dyDescent="0.2">
      <c r="A618">
        <v>4269406461</v>
      </c>
      <c r="B618" t="s">
        <v>1097</v>
      </c>
      <c r="C618">
        <v>3132771504</v>
      </c>
      <c r="E618" t="s">
        <v>555</v>
      </c>
    </row>
    <row r="619" spans="1:5" x14ac:dyDescent="0.2">
      <c r="A619">
        <v>4309875579</v>
      </c>
      <c r="B619" t="s">
        <v>1098</v>
      </c>
      <c r="C619">
        <v>4206125548</v>
      </c>
      <c r="E619" t="s">
        <v>697</v>
      </c>
    </row>
    <row r="620" spans="1:5" x14ac:dyDescent="0.2">
      <c r="A620">
        <v>4363737036</v>
      </c>
      <c r="B620" t="s">
        <v>1099</v>
      </c>
      <c r="C620">
        <v>4206125548</v>
      </c>
      <c r="E620" t="s">
        <v>697</v>
      </c>
    </row>
    <row r="621" spans="1:5" x14ac:dyDescent="0.2">
      <c r="A621">
        <v>4366817813</v>
      </c>
      <c r="B621" t="s">
        <v>1100</v>
      </c>
      <c r="C621">
        <v>4206125548</v>
      </c>
      <c r="E621" t="s">
        <v>697</v>
      </c>
    </row>
    <row r="622" spans="1:5" x14ac:dyDescent="0.2">
      <c r="A622">
        <v>4387534536</v>
      </c>
      <c r="B622" t="s">
        <v>1101</v>
      </c>
      <c r="C622">
        <v>4206125548</v>
      </c>
      <c r="E622" t="s">
        <v>697</v>
      </c>
    </row>
    <row r="623" spans="1:5" x14ac:dyDescent="0.2">
      <c r="A623">
        <v>4388357426</v>
      </c>
      <c r="B623" t="s">
        <v>1102</v>
      </c>
      <c r="C623">
        <v>4388357431</v>
      </c>
      <c r="E623" t="s">
        <v>748</v>
      </c>
    </row>
    <row r="624" spans="1:5" x14ac:dyDescent="0.2">
      <c r="A624">
        <v>4391851758</v>
      </c>
      <c r="B624" t="s">
        <v>1103</v>
      </c>
      <c r="C624">
        <v>4206125548</v>
      </c>
      <c r="E624" t="s">
        <v>697</v>
      </c>
    </row>
    <row r="625" spans="1:5" x14ac:dyDescent="0.2">
      <c r="A625">
        <v>4392866355</v>
      </c>
      <c r="B625" t="s">
        <v>1035</v>
      </c>
      <c r="C625">
        <v>4206125548</v>
      </c>
      <c r="E625" t="s">
        <v>697</v>
      </c>
    </row>
    <row r="626" spans="1:5" x14ac:dyDescent="0.2">
      <c r="A626">
        <v>4397985412</v>
      </c>
      <c r="B626" t="s">
        <v>1104</v>
      </c>
      <c r="C626">
        <v>4206125548</v>
      </c>
      <c r="E626" t="s">
        <v>697</v>
      </c>
    </row>
    <row r="627" spans="1:5" x14ac:dyDescent="0.2">
      <c r="A627">
        <v>4399313453</v>
      </c>
      <c r="B627" t="s">
        <v>954</v>
      </c>
      <c r="C627">
        <v>4206125548</v>
      </c>
      <c r="E627" t="s">
        <v>697</v>
      </c>
    </row>
    <row r="628" spans="1:5" x14ac:dyDescent="0.2">
      <c r="A628">
        <v>4406675344</v>
      </c>
      <c r="B628" t="s">
        <v>1105</v>
      </c>
      <c r="C628">
        <v>4206125548</v>
      </c>
      <c r="E628" t="s">
        <v>697</v>
      </c>
    </row>
    <row r="629" spans="1:5" x14ac:dyDescent="0.2">
      <c r="A629">
        <v>4408223122</v>
      </c>
      <c r="B629" t="s">
        <v>1106</v>
      </c>
      <c r="C629">
        <v>4165324800</v>
      </c>
      <c r="E629" t="s">
        <v>712</v>
      </c>
    </row>
    <row r="630" spans="1:5" x14ac:dyDescent="0.2">
      <c r="A630">
        <v>4408223122</v>
      </c>
      <c r="B630" t="s">
        <v>1106</v>
      </c>
      <c r="C630">
        <v>2206292455</v>
      </c>
      <c r="E630" t="s">
        <v>530</v>
      </c>
    </row>
    <row r="631" spans="1:5" x14ac:dyDescent="0.2">
      <c r="A631">
        <v>4413716713</v>
      </c>
      <c r="B631" t="s">
        <v>1107</v>
      </c>
      <c r="C631">
        <v>3132771504</v>
      </c>
      <c r="E631" t="s">
        <v>555</v>
      </c>
    </row>
    <row r="632" spans="1:5" x14ac:dyDescent="0.2">
      <c r="A632">
        <v>4413716713</v>
      </c>
      <c r="B632" t="s">
        <v>1107</v>
      </c>
      <c r="C632">
        <v>2206291448</v>
      </c>
      <c r="E632" t="s">
        <v>529</v>
      </c>
    </row>
    <row r="633" spans="1:5" x14ac:dyDescent="0.2">
      <c r="A633">
        <v>4413716713</v>
      </c>
      <c r="B633" t="s">
        <v>1107</v>
      </c>
      <c r="C633">
        <v>2207323229</v>
      </c>
      <c r="E633" t="s">
        <v>535</v>
      </c>
    </row>
    <row r="634" spans="1:5" x14ac:dyDescent="0.2">
      <c r="A634">
        <v>4414083392</v>
      </c>
      <c r="B634" t="s">
        <v>1108</v>
      </c>
      <c r="C634">
        <v>4206125548</v>
      </c>
      <c r="E634" t="s">
        <v>697</v>
      </c>
    </row>
    <row r="635" spans="1:5" x14ac:dyDescent="0.2">
      <c r="A635">
        <v>4418842939</v>
      </c>
      <c r="B635" t="s">
        <v>1109</v>
      </c>
      <c r="C635">
        <v>4418842944</v>
      </c>
      <c r="E635" t="s">
        <v>750</v>
      </c>
    </row>
    <row r="636" spans="1:5" x14ac:dyDescent="0.2">
      <c r="A636">
        <v>4418842939</v>
      </c>
      <c r="B636" t="s">
        <v>1109</v>
      </c>
      <c r="C636">
        <v>4418842947</v>
      </c>
      <c r="E636" t="s">
        <v>732</v>
      </c>
    </row>
    <row r="637" spans="1:5" x14ac:dyDescent="0.2">
      <c r="A637">
        <v>4418842939</v>
      </c>
      <c r="B637" t="s">
        <v>1109</v>
      </c>
      <c r="C637">
        <v>4418842949</v>
      </c>
      <c r="E637" t="s">
        <v>751</v>
      </c>
    </row>
    <row r="638" spans="1:5" x14ac:dyDescent="0.2">
      <c r="A638">
        <v>4418842939</v>
      </c>
      <c r="B638" t="s">
        <v>1109</v>
      </c>
      <c r="C638">
        <v>4418842951</v>
      </c>
      <c r="E638" t="s">
        <v>733</v>
      </c>
    </row>
    <row r="639" spans="1:5" x14ac:dyDescent="0.2">
      <c r="A639">
        <v>4418842939</v>
      </c>
      <c r="B639" t="s">
        <v>1109</v>
      </c>
      <c r="C639">
        <v>4418842953</v>
      </c>
      <c r="E639" t="s">
        <v>774</v>
      </c>
    </row>
    <row r="640" spans="1:5" x14ac:dyDescent="0.2">
      <c r="A640">
        <v>4418842939</v>
      </c>
      <c r="B640" t="s">
        <v>1109</v>
      </c>
      <c r="C640">
        <v>4418842955</v>
      </c>
      <c r="E640" t="s">
        <v>773</v>
      </c>
    </row>
    <row r="641" spans="1:5" x14ac:dyDescent="0.2">
      <c r="A641">
        <v>4418842939</v>
      </c>
      <c r="B641" t="s">
        <v>1109</v>
      </c>
      <c r="C641">
        <v>4418842957</v>
      </c>
      <c r="E641" t="s">
        <v>772</v>
      </c>
    </row>
    <row r="642" spans="1:5" x14ac:dyDescent="0.2">
      <c r="A642">
        <v>4418842939</v>
      </c>
      <c r="B642" t="s">
        <v>1109</v>
      </c>
      <c r="C642">
        <v>4418842959</v>
      </c>
      <c r="E642" t="s">
        <v>771</v>
      </c>
    </row>
    <row r="643" spans="1:5" x14ac:dyDescent="0.2">
      <c r="A643">
        <v>4418842939</v>
      </c>
      <c r="B643" t="s">
        <v>1109</v>
      </c>
      <c r="C643">
        <v>4418842961</v>
      </c>
      <c r="E643" t="s">
        <v>770</v>
      </c>
    </row>
    <row r="644" spans="1:5" x14ac:dyDescent="0.2">
      <c r="A644">
        <v>4418842939</v>
      </c>
      <c r="B644" t="s">
        <v>1109</v>
      </c>
      <c r="C644">
        <v>4418842963</v>
      </c>
      <c r="E644" t="s">
        <v>769</v>
      </c>
    </row>
    <row r="645" spans="1:5" x14ac:dyDescent="0.2">
      <c r="A645">
        <v>4418842939</v>
      </c>
      <c r="B645" t="s">
        <v>1109</v>
      </c>
      <c r="C645">
        <v>4418842965</v>
      </c>
      <c r="E645" t="s">
        <v>768</v>
      </c>
    </row>
    <row r="646" spans="1:5" x14ac:dyDescent="0.2">
      <c r="A646">
        <v>4418842939</v>
      </c>
      <c r="B646" t="s">
        <v>1109</v>
      </c>
      <c r="C646">
        <v>4418842967</v>
      </c>
      <c r="E646" t="s">
        <v>767</v>
      </c>
    </row>
    <row r="647" spans="1:5" x14ac:dyDescent="0.2">
      <c r="A647">
        <v>4418842939</v>
      </c>
      <c r="B647" t="s">
        <v>1109</v>
      </c>
      <c r="C647">
        <v>4418842969</v>
      </c>
      <c r="E647" t="s">
        <v>875</v>
      </c>
    </row>
    <row r="648" spans="1:5" x14ac:dyDescent="0.2">
      <c r="A648">
        <v>4418842939</v>
      </c>
      <c r="B648" t="s">
        <v>1109</v>
      </c>
      <c r="C648">
        <v>4418842971</v>
      </c>
      <c r="E648" t="s">
        <v>766</v>
      </c>
    </row>
    <row r="649" spans="1:5" x14ac:dyDescent="0.2">
      <c r="A649">
        <v>4418842939</v>
      </c>
      <c r="B649" t="s">
        <v>1109</v>
      </c>
      <c r="C649">
        <v>4418842973</v>
      </c>
      <c r="E649" t="s">
        <v>765</v>
      </c>
    </row>
    <row r="650" spans="1:5" x14ac:dyDescent="0.2">
      <c r="A650">
        <v>4418842939</v>
      </c>
      <c r="B650" t="s">
        <v>1109</v>
      </c>
      <c r="C650">
        <v>4418842977</v>
      </c>
      <c r="E650" t="s">
        <v>764</v>
      </c>
    </row>
    <row r="651" spans="1:5" x14ac:dyDescent="0.2">
      <c r="A651">
        <v>4418842939</v>
      </c>
      <c r="B651" t="s">
        <v>1109</v>
      </c>
      <c r="C651">
        <v>4418842979</v>
      </c>
      <c r="E651" t="s">
        <v>763</v>
      </c>
    </row>
    <row r="652" spans="1:5" x14ac:dyDescent="0.2">
      <c r="A652">
        <v>4418842939</v>
      </c>
      <c r="B652" t="s">
        <v>1109</v>
      </c>
      <c r="C652">
        <v>4418842981</v>
      </c>
      <c r="E652" t="s">
        <v>762</v>
      </c>
    </row>
    <row r="653" spans="1:5" x14ac:dyDescent="0.2">
      <c r="A653">
        <v>4418842939</v>
      </c>
      <c r="B653" t="s">
        <v>1109</v>
      </c>
      <c r="C653">
        <v>4418842983</v>
      </c>
      <c r="E653" t="s">
        <v>761</v>
      </c>
    </row>
    <row r="654" spans="1:5" x14ac:dyDescent="0.2">
      <c r="A654">
        <v>4418842939</v>
      </c>
      <c r="B654" t="s">
        <v>1109</v>
      </c>
      <c r="C654">
        <v>4418842987</v>
      </c>
      <c r="E654" t="s">
        <v>760</v>
      </c>
    </row>
    <row r="655" spans="1:5" x14ac:dyDescent="0.2">
      <c r="A655">
        <v>4418842939</v>
      </c>
      <c r="B655" t="s">
        <v>1109</v>
      </c>
      <c r="C655">
        <v>4418842991</v>
      </c>
      <c r="E655" t="s">
        <v>776</v>
      </c>
    </row>
    <row r="656" spans="1:5" x14ac:dyDescent="0.2">
      <c r="A656">
        <v>4421478965</v>
      </c>
      <c r="B656" t="s">
        <v>1110</v>
      </c>
      <c r="C656">
        <v>4206125548</v>
      </c>
      <c r="E656" t="s">
        <v>697</v>
      </c>
    </row>
    <row r="657" spans="1:5" x14ac:dyDescent="0.2">
      <c r="A657">
        <v>4428901544</v>
      </c>
      <c r="B657" t="s">
        <v>1111</v>
      </c>
      <c r="C657">
        <v>4206125548</v>
      </c>
      <c r="E657" t="s">
        <v>697</v>
      </c>
    </row>
    <row r="658" spans="1:5" x14ac:dyDescent="0.2">
      <c r="A658">
        <v>4429042067</v>
      </c>
      <c r="B658" t="s">
        <v>1112</v>
      </c>
      <c r="C658">
        <v>4429042075</v>
      </c>
      <c r="E658" t="s">
        <v>775</v>
      </c>
    </row>
    <row r="659" spans="1:5" x14ac:dyDescent="0.2">
      <c r="A659">
        <v>4429042067</v>
      </c>
      <c r="B659" t="s">
        <v>1112</v>
      </c>
      <c r="C659">
        <v>4429042082</v>
      </c>
      <c r="E659" t="s">
        <v>759</v>
      </c>
    </row>
    <row r="660" spans="1:5" x14ac:dyDescent="0.2">
      <c r="A660">
        <v>4435958657</v>
      </c>
      <c r="B660" t="s">
        <v>1096</v>
      </c>
      <c r="C660">
        <v>4206125548</v>
      </c>
      <c r="E660" t="s">
        <v>697</v>
      </c>
    </row>
    <row r="661" spans="1:5" x14ac:dyDescent="0.2">
      <c r="A661">
        <v>4436174251</v>
      </c>
      <c r="B661" t="s">
        <v>1113</v>
      </c>
      <c r="C661">
        <v>4206125548</v>
      </c>
      <c r="E661" t="s">
        <v>697</v>
      </c>
    </row>
    <row r="662" spans="1:5" x14ac:dyDescent="0.2">
      <c r="A662">
        <v>4440602349</v>
      </c>
      <c r="B662" t="s">
        <v>1114</v>
      </c>
      <c r="C662">
        <v>4206125548</v>
      </c>
      <c r="E662" t="s">
        <v>697</v>
      </c>
    </row>
    <row r="663" spans="1:5" x14ac:dyDescent="0.2">
      <c r="A663">
        <v>4441029289</v>
      </c>
      <c r="B663" t="s">
        <v>1115</v>
      </c>
      <c r="C663">
        <v>4206125548</v>
      </c>
      <c r="E663" t="s">
        <v>697</v>
      </c>
    </row>
    <row r="664" spans="1:5" x14ac:dyDescent="0.2">
      <c r="A664">
        <v>4461421770</v>
      </c>
      <c r="B664" t="s">
        <v>1116</v>
      </c>
      <c r="C664">
        <v>3132771504</v>
      </c>
      <c r="E664" t="s">
        <v>555</v>
      </c>
    </row>
    <row r="665" spans="1:5" x14ac:dyDescent="0.2">
      <c r="A665">
        <v>4461435156</v>
      </c>
      <c r="B665" t="s">
        <v>1117</v>
      </c>
      <c r="C665">
        <v>4206125548</v>
      </c>
      <c r="E665" t="s">
        <v>697</v>
      </c>
    </row>
    <row r="666" spans="1:5" x14ac:dyDescent="0.2">
      <c r="A666">
        <v>4463213931</v>
      </c>
      <c r="B666" t="s">
        <v>1118</v>
      </c>
      <c r="C666">
        <v>4206125548</v>
      </c>
      <c r="E666" t="s">
        <v>697</v>
      </c>
    </row>
    <row r="667" spans="1:5" x14ac:dyDescent="0.2">
      <c r="A667">
        <v>4463950229</v>
      </c>
      <c r="B667" t="s">
        <v>1119</v>
      </c>
      <c r="C667">
        <v>4206125548</v>
      </c>
      <c r="E667" t="s">
        <v>697</v>
      </c>
    </row>
    <row r="668" spans="1:5" x14ac:dyDescent="0.2">
      <c r="A668">
        <v>4464535187</v>
      </c>
      <c r="B668" t="s">
        <v>1120</v>
      </c>
      <c r="C668">
        <v>4206125548</v>
      </c>
      <c r="E668" t="s">
        <v>697</v>
      </c>
    </row>
    <row r="669" spans="1:5" x14ac:dyDescent="0.2">
      <c r="A669">
        <v>4467878836</v>
      </c>
      <c r="B669" t="s">
        <v>1121</v>
      </c>
      <c r="C669">
        <v>4467878841</v>
      </c>
      <c r="E669" t="s">
        <v>779</v>
      </c>
    </row>
    <row r="670" spans="1:5" x14ac:dyDescent="0.2">
      <c r="A670">
        <v>4467879146</v>
      </c>
      <c r="B670" t="s">
        <v>1122</v>
      </c>
      <c r="C670">
        <v>4467879151</v>
      </c>
      <c r="E670" t="s">
        <v>780</v>
      </c>
    </row>
    <row r="671" spans="1:5" x14ac:dyDescent="0.2">
      <c r="A671">
        <v>4470331474</v>
      </c>
      <c r="B671" t="s">
        <v>1123</v>
      </c>
      <c r="C671">
        <v>4206125548</v>
      </c>
      <c r="E671" t="s">
        <v>697</v>
      </c>
    </row>
    <row r="672" spans="1:5" x14ac:dyDescent="0.2">
      <c r="A672">
        <v>4470920623</v>
      </c>
      <c r="B672" t="s">
        <v>1124</v>
      </c>
      <c r="C672">
        <v>3273928205</v>
      </c>
      <c r="E672" t="s">
        <v>508</v>
      </c>
    </row>
    <row r="673" spans="1:5" x14ac:dyDescent="0.2">
      <c r="A673">
        <v>4470920623</v>
      </c>
      <c r="B673" t="s">
        <v>1124</v>
      </c>
      <c r="C673">
        <v>4655763013</v>
      </c>
      <c r="E673" t="s">
        <v>849</v>
      </c>
    </row>
    <row r="674" spans="1:5" x14ac:dyDescent="0.2">
      <c r="A674">
        <v>4470920623</v>
      </c>
      <c r="B674" t="s">
        <v>1124</v>
      </c>
      <c r="C674">
        <v>4655763015</v>
      </c>
      <c r="E674" t="s">
        <v>848</v>
      </c>
    </row>
    <row r="675" spans="1:5" x14ac:dyDescent="0.2">
      <c r="A675">
        <v>4470920623</v>
      </c>
      <c r="B675" t="s">
        <v>1124</v>
      </c>
      <c r="C675">
        <v>4655763018</v>
      </c>
      <c r="E675" t="s">
        <v>847</v>
      </c>
    </row>
    <row r="676" spans="1:5" x14ac:dyDescent="0.2">
      <c r="A676">
        <v>4470920623</v>
      </c>
      <c r="B676" t="s">
        <v>1124</v>
      </c>
      <c r="C676">
        <v>4655763020</v>
      </c>
      <c r="E676" t="s">
        <v>846</v>
      </c>
    </row>
    <row r="677" spans="1:5" x14ac:dyDescent="0.2">
      <c r="A677">
        <v>4470920623</v>
      </c>
      <c r="B677" t="s">
        <v>1124</v>
      </c>
      <c r="C677">
        <v>4658740687</v>
      </c>
      <c r="E677" t="s">
        <v>844</v>
      </c>
    </row>
    <row r="678" spans="1:5" x14ac:dyDescent="0.2">
      <c r="A678">
        <v>4470920623</v>
      </c>
      <c r="B678" t="s">
        <v>1124</v>
      </c>
      <c r="C678">
        <v>3273928205</v>
      </c>
      <c r="E678" t="s">
        <v>508</v>
      </c>
    </row>
    <row r="679" spans="1:5" x14ac:dyDescent="0.2">
      <c r="A679">
        <v>4470920623</v>
      </c>
      <c r="B679" t="s">
        <v>1124</v>
      </c>
      <c r="C679">
        <v>3273928205</v>
      </c>
      <c r="E679" t="s">
        <v>508</v>
      </c>
    </row>
    <row r="680" spans="1:5" x14ac:dyDescent="0.2">
      <c r="A680">
        <v>4470920623</v>
      </c>
      <c r="B680" t="s">
        <v>1124</v>
      </c>
      <c r="C680">
        <v>3273928205</v>
      </c>
      <c r="E680" t="s">
        <v>508</v>
      </c>
    </row>
    <row r="681" spans="1:5" x14ac:dyDescent="0.2">
      <c r="A681">
        <v>4470920623</v>
      </c>
      <c r="B681" t="s">
        <v>1124</v>
      </c>
      <c r="C681">
        <v>3273928205</v>
      </c>
      <c r="E681" t="s">
        <v>508</v>
      </c>
    </row>
    <row r="682" spans="1:5" x14ac:dyDescent="0.2">
      <c r="A682">
        <v>4470920623</v>
      </c>
      <c r="B682" t="s">
        <v>1124</v>
      </c>
      <c r="C682">
        <v>3273928514</v>
      </c>
      <c r="E682" t="s">
        <v>130</v>
      </c>
    </row>
    <row r="683" spans="1:5" x14ac:dyDescent="0.2">
      <c r="A683">
        <v>4471104552</v>
      </c>
      <c r="B683" t="s">
        <v>1125</v>
      </c>
      <c r="C683">
        <v>4206125548</v>
      </c>
      <c r="E683" t="s">
        <v>697</v>
      </c>
    </row>
    <row r="684" spans="1:5" x14ac:dyDescent="0.2">
      <c r="A684">
        <v>4473573889</v>
      </c>
      <c r="B684" t="s">
        <v>1126</v>
      </c>
      <c r="C684">
        <v>4206125548</v>
      </c>
      <c r="E684" t="s">
        <v>697</v>
      </c>
    </row>
    <row r="685" spans="1:5" x14ac:dyDescent="0.2">
      <c r="A685">
        <v>4475512350</v>
      </c>
      <c r="B685" t="s">
        <v>1127</v>
      </c>
      <c r="C685">
        <v>4206125548</v>
      </c>
      <c r="E685" t="s">
        <v>697</v>
      </c>
    </row>
    <row r="686" spans="1:5" x14ac:dyDescent="0.2">
      <c r="A686">
        <v>4476026114</v>
      </c>
      <c r="B686" t="s">
        <v>1128</v>
      </c>
      <c r="C686">
        <v>4206125548</v>
      </c>
      <c r="E686" t="s">
        <v>697</v>
      </c>
    </row>
    <row r="687" spans="1:5" x14ac:dyDescent="0.2">
      <c r="A687">
        <v>4476965181</v>
      </c>
      <c r="B687" t="s">
        <v>1129</v>
      </c>
      <c r="C687">
        <v>4206125548</v>
      </c>
      <c r="E687" t="s">
        <v>697</v>
      </c>
    </row>
    <row r="688" spans="1:5" x14ac:dyDescent="0.2">
      <c r="A688">
        <v>4477208035</v>
      </c>
      <c r="B688" t="s">
        <v>1130</v>
      </c>
      <c r="C688">
        <v>4477208048</v>
      </c>
      <c r="E688" t="s">
        <v>781</v>
      </c>
    </row>
    <row r="689" spans="1:5" x14ac:dyDescent="0.2">
      <c r="A689">
        <v>4477208035</v>
      </c>
      <c r="B689" t="s">
        <v>1130</v>
      </c>
      <c r="C689">
        <v>4477208058</v>
      </c>
      <c r="E689" t="s">
        <v>782</v>
      </c>
    </row>
    <row r="690" spans="1:5" x14ac:dyDescent="0.2">
      <c r="A690">
        <v>4477208035</v>
      </c>
      <c r="B690" t="s">
        <v>1130</v>
      </c>
      <c r="C690">
        <v>4477208060</v>
      </c>
      <c r="E690" t="s">
        <v>783</v>
      </c>
    </row>
    <row r="691" spans="1:5" x14ac:dyDescent="0.2">
      <c r="A691">
        <v>4477208035</v>
      </c>
      <c r="B691" t="s">
        <v>1130</v>
      </c>
      <c r="C691">
        <v>4477208062</v>
      </c>
      <c r="E691" t="s">
        <v>784</v>
      </c>
    </row>
    <row r="692" spans="1:5" x14ac:dyDescent="0.2">
      <c r="A692">
        <v>4477208035</v>
      </c>
      <c r="B692" t="s">
        <v>1130</v>
      </c>
      <c r="C692">
        <v>4477208064</v>
      </c>
      <c r="E692" t="s">
        <v>792</v>
      </c>
    </row>
    <row r="693" spans="1:5" x14ac:dyDescent="0.2">
      <c r="A693">
        <v>4477208035</v>
      </c>
      <c r="B693" t="s">
        <v>1130</v>
      </c>
      <c r="C693">
        <v>4477208066</v>
      </c>
      <c r="E693" t="s">
        <v>793</v>
      </c>
    </row>
    <row r="694" spans="1:5" x14ac:dyDescent="0.2">
      <c r="A694">
        <v>4477208035</v>
      </c>
      <c r="B694" t="s">
        <v>1130</v>
      </c>
      <c r="C694">
        <v>4477208068</v>
      </c>
      <c r="E694" t="s">
        <v>785</v>
      </c>
    </row>
    <row r="695" spans="1:5" x14ac:dyDescent="0.2">
      <c r="A695">
        <v>4477208035</v>
      </c>
      <c r="B695" t="s">
        <v>1130</v>
      </c>
      <c r="C695">
        <v>4477208070</v>
      </c>
      <c r="E695" t="s">
        <v>786</v>
      </c>
    </row>
    <row r="696" spans="1:5" x14ac:dyDescent="0.2">
      <c r="A696">
        <v>4477208035</v>
      </c>
      <c r="B696" t="s">
        <v>1130</v>
      </c>
      <c r="C696">
        <v>4477208072</v>
      </c>
      <c r="E696" t="s">
        <v>1131</v>
      </c>
    </row>
    <row r="697" spans="1:5" x14ac:dyDescent="0.2">
      <c r="A697">
        <v>4477208035</v>
      </c>
      <c r="B697" t="s">
        <v>1130</v>
      </c>
      <c r="C697">
        <v>4477208074</v>
      </c>
      <c r="E697" t="s">
        <v>794</v>
      </c>
    </row>
    <row r="698" spans="1:5" x14ac:dyDescent="0.2">
      <c r="A698">
        <v>4477208035</v>
      </c>
      <c r="B698" t="s">
        <v>1130</v>
      </c>
      <c r="C698">
        <v>4477208076</v>
      </c>
      <c r="E698" t="s">
        <v>787</v>
      </c>
    </row>
    <row r="699" spans="1:5" x14ac:dyDescent="0.2">
      <c r="A699">
        <v>4477208035</v>
      </c>
      <c r="B699" t="s">
        <v>1130</v>
      </c>
      <c r="C699">
        <v>4477208079</v>
      </c>
      <c r="E699" t="s">
        <v>788</v>
      </c>
    </row>
    <row r="700" spans="1:5" x14ac:dyDescent="0.2">
      <c r="A700">
        <v>4477208035</v>
      </c>
      <c r="B700" t="s">
        <v>1130</v>
      </c>
      <c r="C700">
        <v>4477208081</v>
      </c>
      <c r="E700" t="s">
        <v>795</v>
      </c>
    </row>
    <row r="701" spans="1:5" x14ac:dyDescent="0.2">
      <c r="A701">
        <v>4477892972</v>
      </c>
      <c r="B701" t="s">
        <v>1132</v>
      </c>
      <c r="C701">
        <v>4206125548</v>
      </c>
      <c r="E701" t="s">
        <v>697</v>
      </c>
    </row>
    <row r="702" spans="1:5" x14ac:dyDescent="0.2">
      <c r="A702">
        <v>4477927719</v>
      </c>
      <c r="B702" t="s">
        <v>1133</v>
      </c>
      <c r="C702">
        <v>4206125548</v>
      </c>
      <c r="E702" t="s">
        <v>697</v>
      </c>
    </row>
    <row r="703" spans="1:5" x14ac:dyDescent="0.2">
      <c r="A703">
        <v>4478584408</v>
      </c>
      <c r="B703" t="s">
        <v>1134</v>
      </c>
      <c r="C703">
        <v>4478584192</v>
      </c>
      <c r="E703" t="s">
        <v>797</v>
      </c>
    </row>
    <row r="704" spans="1:5" x14ac:dyDescent="0.2">
      <c r="A704">
        <v>4478823364</v>
      </c>
      <c r="B704" t="s">
        <v>1135</v>
      </c>
      <c r="C704">
        <v>4478823370</v>
      </c>
      <c r="E704" t="s">
        <v>791</v>
      </c>
    </row>
    <row r="705" spans="1:5" x14ac:dyDescent="0.2">
      <c r="A705">
        <v>4479127157</v>
      </c>
      <c r="B705" t="s">
        <v>1136</v>
      </c>
      <c r="C705">
        <v>3132771504</v>
      </c>
      <c r="E705" t="s">
        <v>555</v>
      </c>
    </row>
    <row r="706" spans="1:5" x14ac:dyDescent="0.2">
      <c r="A706">
        <v>4480724185</v>
      </c>
      <c r="B706" t="s">
        <v>1137</v>
      </c>
      <c r="C706">
        <v>4206125548</v>
      </c>
      <c r="E706" t="s">
        <v>697</v>
      </c>
    </row>
    <row r="707" spans="1:5" x14ac:dyDescent="0.2">
      <c r="A707">
        <v>4480946235</v>
      </c>
      <c r="B707" t="s">
        <v>1138</v>
      </c>
      <c r="C707">
        <v>2206693040</v>
      </c>
      <c r="E707" t="s">
        <v>538</v>
      </c>
    </row>
    <row r="708" spans="1:5" x14ac:dyDescent="0.2">
      <c r="A708">
        <v>4480946235</v>
      </c>
      <c r="B708" t="s">
        <v>1138</v>
      </c>
      <c r="C708">
        <v>3273957707</v>
      </c>
      <c r="E708" t="s">
        <v>163</v>
      </c>
    </row>
    <row r="709" spans="1:5" x14ac:dyDescent="0.2">
      <c r="A709">
        <v>4483627138</v>
      </c>
      <c r="B709" t="s">
        <v>1139</v>
      </c>
      <c r="C709">
        <v>4206125548</v>
      </c>
      <c r="E709" t="s">
        <v>697</v>
      </c>
    </row>
    <row r="710" spans="1:5" x14ac:dyDescent="0.2">
      <c r="A710">
        <v>4486897620</v>
      </c>
      <c r="B710" t="s">
        <v>1140</v>
      </c>
      <c r="C710">
        <v>4206125548</v>
      </c>
      <c r="E710" t="s">
        <v>697</v>
      </c>
    </row>
    <row r="711" spans="1:5" x14ac:dyDescent="0.2">
      <c r="A711">
        <v>4487065082</v>
      </c>
      <c r="B711" t="s">
        <v>1141</v>
      </c>
      <c r="C711">
        <v>4206125548</v>
      </c>
      <c r="E711" t="s">
        <v>697</v>
      </c>
    </row>
    <row r="712" spans="1:5" x14ac:dyDescent="0.2">
      <c r="A712">
        <v>4487071564</v>
      </c>
      <c r="B712" t="s">
        <v>1142</v>
      </c>
      <c r="C712">
        <v>4206125548</v>
      </c>
      <c r="E712" t="s">
        <v>697</v>
      </c>
    </row>
    <row r="713" spans="1:5" x14ac:dyDescent="0.2">
      <c r="A713">
        <v>4501262804</v>
      </c>
      <c r="B713" t="s">
        <v>1143</v>
      </c>
      <c r="C713">
        <v>4206125548</v>
      </c>
      <c r="E713" t="s">
        <v>697</v>
      </c>
    </row>
    <row r="714" spans="1:5" x14ac:dyDescent="0.2">
      <c r="A714">
        <v>4503665252</v>
      </c>
      <c r="B714" t="s">
        <v>1144</v>
      </c>
      <c r="C714">
        <v>4206125548</v>
      </c>
      <c r="E714" t="s">
        <v>697</v>
      </c>
    </row>
    <row r="715" spans="1:5" x14ac:dyDescent="0.2">
      <c r="A715">
        <v>4504509041</v>
      </c>
      <c r="B715" t="s">
        <v>1145</v>
      </c>
      <c r="C715">
        <v>4206125548</v>
      </c>
      <c r="E715" t="s">
        <v>697</v>
      </c>
    </row>
    <row r="716" spans="1:5" x14ac:dyDescent="0.2">
      <c r="A716">
        <v>4513848857</v>
      </c>
      <c r="B716" t="s">
        <v>1146</v>
      </c>
      <c r="C716">
        <v>4206125548</v>
      </c>
      <c r="E716" t="s">
        <v>697</v>
      </c>
    </row>
    <row r="717" spans="1:5" x14ac:dyDescent="0.2">
      <c r="A717">
        <v>4515166755</v>
      </c>
      <c r="B717" t="s">
        <v>897</v>
      </c>
      <c r="C717">
        <v>4206125548</v>
      </c>
      <c r="E717" t="s">
        <v>697</v>
      </c>
    </row>
    <row r="718" spans="1:5" x14ac:dyDescent="0.2">
      <c r="A718">
        <v>4515168004</v>
      </c>
      <c r="B718" t="s">
        <v>1147</v>
      </c>
      <c r="C718">
        <v>4515168663</v>
      </c>
      <c r="E718" t="s">
        <v>813</v>
      </c>
    </row>
    <row r="719" spans="1:5" x14ac:dyDescent="0.2">
      <c r="A719">
        <v>4515168059</v>
      </c>
      <c r="B719" t="s">
        <v>1148</v>
      </c>
      <c r="C719">
        <v>4515168646</v>
      </c>
      <c r="E719" t="s">
        <v>814</v>
      </c>
    </row>
    <row r="720" spans="1:5" x14ac:dyDescent="0.2">
      <c r="A720">
        <v>4515168105</v>
      </c>
      <c r="B720" t="s">
        <v>1149</v>
      </c>
      <c r="C720">
        <v>4515168708</v>
      </c>
      <c r="E720" t="s">
        <v>812</v>
      </c>
    </row>
    <row r="721" spans="1:5" x14ac:dyDescent="0.2">
      <c r="A721">
        <v>4516353211</v>
      </c>
      <c r="B721" t="s">
        <v>1126</v>
      </c>
      <c r="C721">
        <v>4206125548</v>
      </c>
      <c r="E721" t="s">
        <v>697</v>
      </c>
    </row>
    <row r="722" spans="1:5" x14ac:dyDescent="0.2">
      <c r="A722">
        <v>4517859986</v>
      </c>
      <c r="B722" t="s">
        <v>1150</v>
      </c>
      <c r="C722">
        <v>4206125548</v>
      </c>
      <c r="E722" t="s">
        <v>697</v>
      </c>
    </row>
    <row r="723" spans="1:5" x14ac:dyDescent="0.2">
      <c r="A723">
        <v>4518975540</v>
      </c>
      <c r="B723" t="s">
        <v>1101</v>
      </c>
      <c r="C723">
        <v>4206125548</v>
      </c>
      <c r="E723" t="s">
        <v>697</v>
      </c>
    </row>
    <row r="724" spans="1:5" x14ac:dyDescent="0.2">
      <c r="A724">
        <v>4519130996</v>
      </c>
      <c r="B724" t="s">
        <v>1151</v>
      </c>
      <c r="C724">
        <v>4206125548</v>
      </c>
      <c r="E724" t="s">
        <v>697</v>
      </c>
    </row>
    <row r="725" spans="1:5" x14ac:dyDescent="0.2">
      <c r="A725">
        <v>4519604621</v>
      </c>
      <c r="B725" t="s">
        <v>1152</v>
      </c>
      <c r="C725">
        <v>4522233633</v>
      </c>
      <c r="E725" t="s">
        <v>809</v>
      </c>
    </row>
    <row r="726" spans="1:5" x14ac:dyDescent="0.2">
      <c r="A726">
        <v>4519872008</v>
      </c>
      <c r="B726" t="s">
        <v>1153</v>
      </c>
      <c r="C726">
        <v>4206125548</v>
      </c>
      <c r="E726" t="s">
        <v>697</v>
      </c>
    </row>
    <row r="727" spans="1:5" x14ac:dyDescent="0.2">
      <c r="A727">
        <v>4520109288</v>
      </c>
      <c r="B727" t="s">
        <v>1154</v>
      </c>
      <c r="C727">
        <v>4206125548</v>
      </c>
      <c r="E727" t="s">
        <v>697</v>
      </c>
    </row>
    <row r="728" spans="1:5" x14ac:dyDescent="0.2">
      <c r="A728">
        <v>4523610071</v>
      </c>
      <c r="B728" t="s">
        <v>1155</v>
      </c>
      <c r="C728">
        <v>4206125548</v>
      </c>
      <c r="E728" t="s">
        <v>697</v>
      </c>
    </row>
    <row r="729" spans="1:5" x14ac:dyDescent="0.2">
      <c r="A729">
        <v>4524136949</v>
      </c>
      <c r="B729" t="s">
        <v>1156</v>
      </c>
      <c r="C729">
        <v>3132771504</v>
      </c>
      <c r="E729" t="s">
        <v>555</v>
      </c>
    </row>
    <row r="730" spans="1:5" x14ac:dyDescent="0.2">
      <c r="A730">
        <v>4528535136</v>
      </c>
      <c r="B730" t="s">
        <v>1157</v>
      </c>
      <c r="C730">
        <v>4206125548</v>
      </c>
      <c r="E730" t="s">
        <v>697</v>
      </c>
    </row>
    <row r="731" spans="1:5" x14ac:dyDescent="0.2">
      <c r="A731">
        <v>4529213671</v>
      </c>
      <c r="B731" t="s">
        <v>1158</v>
      </c>
      <c r="C731">
        <v>4206125548</v>
      </c>
      <c r="E731" t="s">
        <v>697</v>
      </c>
    </row>
    <row r="732" spans="1:5" x14ac:dyDescent="0.2">
      <c r="A732">
        <v>4543212036</v>
      </c>
      <c r="B732" t="s">
        <v>1159</v>
      </c>
      <c r="C732">
        <v>4206125548</v>
      </c>
      <c r="E732" t="s">
        <v>697</v>
      </c>
    </row>
    <row r="733" spans="1:5" x14ac:dyDescent="0.2">
      <c r="A733">
        <v>4545913007</v>
      </c>
      <c r="B733" t="s">
        <v>1160</v>
      </c>
      <c r="C733">
        <v>4206125548</v>
      </c>
      <c r="E733" t="s">
        <v>697</v>
      </c>
    </row>
    <row r="734" spans="1:5" x14ac:dyDescent="0.2">
      <c r="A734">
        <v>4547377013</v>
      </c>
      <c r="B734" t="s">
        <v>1161</v>
      </c>
      <c r="C734">
        <v>4206125548</v>
      </c>
      <c r="E734" t="s">
        <v>697</v>
      </c>
    </row>
    <row r="735" spans="1:5" x14ac:dyDescent="0.2">
      <c r="A735">
        <v>4550373328</v>
      </c>
      <c r="B735" t="s">
        <v>1162</v>
      </c>
      <c r="C735">
        <v>4555867007</v>
      </c>
      <c r="E735" t="s">
        <v>800</v>
      </c>
    </row>
    <row r="736" spans="1:5" x14ac:dyDescent="0.2">
      <c r="A736">
        <v>4550373328</v>
      </c>
      <c r="B736" t="s">
        <v>1162</v>
      </c>
      <c r="C736">
        <v>4555867009</v>
      </c>
      <c r="E736" t="s">
        <v>798</v>
      </c>
    </row>
    <row r="737" spans="1:5" x14ac:dyDescent="0.2">
      <c r="A737">
        <v>4550373328</v>
      </c>
      <c r="B737" t="s">
        <v>1162</v>
      </c>
      <c r="C737">
        <v>4555867012</v>
      </c>
      <c r="E737" t="s">
        <v>799</v>
      </c>
    </row>
    <row r="738" spans="1:5" x14ac:dyDescent="0.2">
      <c r="A738">
        <v>4550373328</v>
      </c>
      <c r="B738" t="s">
        <v>1162</v>
      </c>
      <c r="C738">
        <v>4627623312</v>
      </c>
      <c r="E738" t="s">
        <v>826</v>
      </c>
    </row>
    <row r="739" spans="1:5" x14ac:dyDescent="0.2">
      <c r="A739">
        <v>4550373328</v>
      </c>
      <c r="B739" t="s">
        <v>1162</v>
      </c>
      <c r="C739">
        <v>4627623326</v>
      </c>
      <c r="E739" t="s">
        <v>827</v>
      </c>
    </row>
    <row r="740" spans="1:5" x14ac:dyDescent="0.2">
      <c r="A740">
        <v>4554140251</v>
      </c>
      <c r="B740" t="s">
        <v>1163</v>
      </c>
      <c r="C740">
        <v>4554140258</v>
      </c>
      <c r="E740" t="s">
        <v>824</v>
      </c>
    </row>
    <row r="741" spans="1:5" x14ac:dyDescent="0.2">
      <c r="A741">
        <v>4554140251</v>
      </c>
      <c r="B741" t="s">
        <v>1163</v>
      </c>
      <c r="C741">
        <v>4554140260</v>
      </c>
      <c r="E741" t="s">
        <v>823</v>
      </c>
    </row>
    <row r="742" spans="1:5" x14ac:dyDescent="0.2">
      <c r="A742">
        <v>4554140251</v>
      </c>
      <c r="B742" t="s">
        <v>1163</v>
      </c>
      <c r="C742">
        <v>4554140262</v>
      </c>
      <c r="E742" t="s">
        <v>802</v>
      </c>
    </row>
    <row r="743" spans="1:5" x14ac:dyDescent="0.2">
      <c r="A743">
        <v>4555867371</v>
      </c>
      <c r="B743" t="s">
        <v>1164</v>
      </c>
      <c r="C743">
        <v>4555867376</v>
      </c>
      <c r="E743" t="s">
        <v>820</v>
      </c>
    </row>
    <row r="744" spans="1:5" x14ac:dyDescent="0.2">
      <c r="A744">
        <v>4555867434</v>
      </c>
      <c r="B744" t="s">
        <v>1165</v>
      </c>
      <c r="C744">
        <v>4555867439</v>
      </c>
      <c r="E744" t="s">
        <v>801</v>
      </c>
    </row>
    <row r="745" spans="1:5" x14ac:dyDescent="0.2">
      <c r="A745">
        <v>4555867483</v>
      </c>
      <c r="B745" t="s">
        <v>1166</v>
      </c>
      <c r="C745">
        <v>4555867491</v>
      </c>
      <c r="E745" t="s">
        <v>821</v>
      </c>
    </row>
    <row r="746" spans="1:5" x14ac:dyDescent="0.2">
      <c r="A746">
        <v>4558409394</v>
      </c>
      <c r="B746" t="s">
        <v>1167</v>
      </c>
      <c r="C746">
        <v>4206125548</v>
      </c>
      <c r="E746" t="s">
        <v>697</v>
      </c>
    </row>
    <row r="747" spans="1:5" x14ac:dyDescent="0.2">
      <c r="A747">
        <v>4559623670</v>
      </c>
      <c r="B747" t="s">
        <v>1168</v>
      </c>
      <c r="C747">
        <v>4206125548</v>
      </c>
      <c r="E747" t="s">
        <v>697</v>
      </c>
    </row>
    <row r="748" spans="1:5" x14ac:dyDescent="0.2">
      <c r="A748">
        <v>4560060421</v>
      </c>
      <c r="B748" t="s">
        <v>1169</v>
      </c>
      <c r="C748">
        <v>4206125548</v>
      </c>
      <c r="E748" t="s">
        <v>697</v>
      </c>
    </row>
    <row r="749" spans="1:5" x14ac:dyDescent="0.2">
      <c r="A749">
        <v>4571049021</v>
      </c>
      <c r="B749" t="s">
        <v>1170</v>
      </c>
      <c r="C749">
        <v>4206125548</v>
      </c>
      <c r="E749" t="s">
        <v>697</v>
      </c>
    </row>
    <row r="750" spans="1:5" x14ac:dyDescent="0.2">
      <c r="A750">
        <v>4573896893</v>
      </c>
      <c r="B750" t="s">
        <v>1171</v>
      </c>
      <c r="C750">
        <v>3132771504</v>
      </c>
      <c r="E750" t="s">
        <v>555</v>
      </c>
    </row>
    <row r="751" spans="1:5" x14ac:dyDescent="0.2">
      <c r="A751">
        <v>4579158160</v>
      </c>
      <c r="B751" t="s">
        <v>1172</v>
      </c>
      <c r="C751">
        <v>3132771504</v>
      </c>
      <c r="E751" t="s">
        <v>555</v>
      </c>
    </row>
    <row r="752" spans="1:5" x14ac:dyDescent="0.2">
      <c r="A752">
        <v>4579158160</v>
      </c>
      <c r="B752" t="s">
        <v>1172</v>
      </c>
      <c r="C752">
        <v>2207323229</v>
      </c>
      <c r="E752" t="s">
        <v>535</v>
      </c>
    </row>
    <row r="753" spans="1:5" x14ac:dyDescent="0.2">
      <c r="A753">
        <v>4609204770</v>
      </c>
      <c r="B753" t="s">
        <v>1173</v>
      </c>
      <c r="C753">
        <v>4206125548</v>
      </c>
      <c r="E753" t="s">
        <v>697</v>
      </c>
    </row>
    <row r="754" spans="1:5" x14ac:dyDescent="0.2">
      <c r="A754">
        <v>4609426358</v>
      </c>
      <c r="B754" t="s">
        <v>1174</v>
      </c>
      <c r="C754">
        <v>4206125548</v>
      </c>
      <c r="E754" t="s">
        <v>697</v>
      </c>
    </row>
    <row r="755" spans="1:5" x14ac:dyDescent="0.2">
      <c r="A755">
        <v>4613324414</v>
      </c>
      <c r="B755" t="s">
        <v>1175</v>
      </c>
      <c r="C755">
        <v>4628035297</v>
      </c>
      <c r="E755" t="s">
        <v>828</v>
      </c>
    </row>
    <row r="756" spans="1:5" x14ac:dyDescent="0.2">
      <c r="A756">
        <v>4613324414</v>
      </c>
      <c r="B756" t="s">
        <v>1175</v>
      </c>
      <c r="C756">
        <v>4628035300</v>
      </c>
      <c r="E756" t="s">
        <v>829</v>
      </c>
    </row>
    <row r="757" spans="1:5" x14ac:dyDescent="0.2">
      <c r="A757">
        <v>4613324414</v>
      </c>
      <c r="B757" t="s">
        <v>1175</v>
      </c>
      <c r="C757">
        <v>4628035303</v>
      </c>
      <c r="E757" t="s">
        <v>808</v>
      </c>
    </row>
    <row r="758" spans="1:5" x14ac:dyDescent="0.2">
      <c r="A758">
        <v>4613324414</v>
      </c>
      <c r="B758" t="s">
        <v>1175</v>
      </c>
      <c r="C758">
        <v>4628035306</v>
      </c>
      <c r="E758" t="s">
        <v>830</v>
      </c>
    </row>
    <row r="759" spans="1:5" x14ac:dyDescent="0.2">
      <c r="A759">
        <v>4613324414</v>
      </c>
      <c r="B759" t="s">
        <v>1175</v>
      </c>
      <c r="C759">
        <v>4628035309</v>
      </c>
      <c r="E759" t="s">
        <v>831</v>
      </c>
    </row>
    <row r="760" spans="1:5" x14ac:dyDescent="0.2">
      <c r="A760">
        <v>4613324414</v>
      </c>
      <c r="B760" t="s">
        <v>1175</v>
      </c>
      <c r="C760">
        <v>4628035312</v>
      </c>
      <c r="E760" t="s">
        <v>832</v>
      </c>
    </row>
    <row r="761" spans="1:5" x14ac:dyDescent="0.2">
      <c r="A761">
        <v>4613324414</v>
      </c>
      <c r="B761" t="s">
        <v>1175</v>
      </c>
      <c r="C761">
        <v>4628035316</v>
      </c>
      <c r="E761" t="s">
        <v>810</v>
      </c>
    </row>
    <row r="762" spans="1:5" x14ac:dyDescent="0.2">
      <c r="A762">
        <v>4613324414</v>
      </c>
      <c r="B762" t="s">
        <v>1175</v>
      </c>
      <c r="C762">
        <v>4628035319</v>
      </c>
      <c r="E762" t="s">
        <v>833</v>
      </c>
    </row>
    <row r="763" spans="1:5" x14ac:dyDescent="0.2">
      <c r="A763">
        <v>4613324414</v>
      </c>
      <c r="B763" t="s">
        <v>1175</v>
      </c>
      <c r="C763">
        <v>4628035322</v>
      </c>
      <c r="E763" t="s">
        <v>834</v>
      </c>
    </row>
    <row r="764" spans="1:5" x14ac:dyDescent="0.2">
      <c r="A764">
        <v>4613324414</v>
      </c>
      <c r="B764" t="s">
        <v>1175</v>
      </c>
      <c r="C764">
        <v>4628035325</v>
      </c>
      <c r="E764" t="s">
        <v>835</v>
      </c>
    </row>
    <row r="765" spans="1:5" x14ac:dyDescent="0.2">
      <c r="A765">
        <v>4613324414</v>
      </c>
      <c r="B765" t="s">
        <v>1175</v>
      </c>
      <c r="C765">
        <v>4628035327</v>
      </c>
      <c r="E765" t="s">
        <v>836</v>
      </c>
    </row>
    <row r="766" spans="1:5" x14ac:dyDescent="0.2">
      <c r="A766">
        <v>4613324414</v>
      </c>
      <c r="B766" t="s">
        <v>1175</v>
      </c>
      <c r="C766">
        <v>4628035330</v>
      </c>
      <c r="E766" t="s">
        <v>837</v>
      </c>
    </row>
    <row r="767" spans="1:5" x14ac:dyDescent="0.2">
      <c r="A767">
        <v>4613324414</v>
      </c>
      <c r="B767" t="s">
        <v>1175</v>
      </c>
      <c r="C767">
        <v>4628035333</v>
      </c>
      <c r="E767" t="s">
        <v>838</v>
      </c>
    </row>
    <row r="768" spans="1:5" x14ac:dyDescent="0.2">
      <c r="A768">
        <v>4613324414</v>
      </c>
      <c r="B768" t="s">
        <v>1175</v>
      </c>
      <c r="C768">
        <v>4628035336</v>
      </c>
      <c r="E768" t="s">
        <v>839</v>
      </c>
    </row>
    <row r="769" spans="1:5" x14ac:dyDescent="0.2">
      <c r="A769">
        <v>4613324414</v>
      </c>
      <c r="B769" t="s">
        <v>1175</v>
      </c>
      <c r="C769">
        <v>4628035339</v>
      </c>
      <c r="E769" t="s">
        <v>840</v>
      </c>
    </row>
    <row r="770" spans="1:5" x14ac:dyDescent="0.2">
      <c r="A770">
        <v>4613324414</v>
      </c>
      <c r="B770" t="s">
        <v>1175</v>
      </c>
      <c r="C770">
        <v>4628035342</v>
      </c>
      <c r="E770" t="s">
        <v>841</v>
      </c>
    </row>
    <row r="771" spans="1:5" x14ac:dyDescent="0.2">
      <c r="A771">
        <v>4613324414</v>
      </c>
      <c r="B771" t="s">
        <v>1175</v>
      </c>
      <c r="C771">
        <v>4628035345</v>
      </c>
      <c r="E771" t="s">
        <v>842</v>
      </c>
    </row>
    <row r="772" spans="1:5" x14ac:dyDescent="0.2">
      <c r="A772">
        <v>4613324414</v>
      </c>
      <c r="B772" t="s">
        <v>1175</v>
      </c>
      <c r="C772">
        <v>4628035348</v>
      </c>
      <c r="E772" t="s">
        <v>864</v>
      </c>
    </row>
    <row r="773" spans="1:5" x14ac:dyDescent="0.2">
      <c r="A773">
        <v>4613324414</v>
      </c>
      <c r="B773" t="s">
        <v>1175</v>
      </c>
      <c r="C773">
        <v>4628035351</v>
      </c>
      <c r="E773" t="s">
        <v>863</v>
      </c>
    </row>
    <row r="774" spans="1:5" x14ac:dyDescent="0.2">
      <c r="A774">
        <v>4613324414</v>
      </c>
      <c r="B774" t="s">
        <v>1175</v>
      </c>
      <c r="C774">
        <v>4628035354</v>
      </c>
      <c r="E774" t="s">
        <v>862</v>
      </c>
    </row>
    <row r="775" spans="1:5" x14ac:dyDescent="0.2">
      <c r="A775">
        <v>4613324414</v>
      </c>
      <c r="B775" t="s">
        <v>1175</v>
      </c>
      <c r="C775">
        <v>4628035357</v>
      </c>
      <c r="E775" t="s">
        <v>861</v>
      </c>
    </row>
    <row r="776" spans="1:5" x14ac:dyDescent="0.2">
      <c r="A776">
        <v>4613324414</v>
      </c>
      <c r="B776" t="s">
        <v>1175</v>
      </c>
      <c r="C776">
        <v>4628035360</v>
      </c>
      <c r="E776" t="s">
        <v>860</v>
      </c>
    </row>
    <row r="777" spans="1:5" x14ac:dyDescent="0.2">
      <c r="A777">
        <v>4613324414</v>
      </c>
      <c r="B777" t="s">
        <v>1175</v>
      </c>
      <c r="C777">
        <v>4628035363</v>
      </c>
      <c r="E777" t="s">
        <v>859</v>
      </c>
    </row>
    <row r="778" spans="1:5" x14ac:dyDescent="0.2">
      <c r="A778">
        <v>4613324414</v>
      </c>
      <c r="B778" t="s">
        <v>1175</v>
      </c>
      <c r="C778">
        <v>4642955171</v>
      </c>
      <c r="E778" t="s">
        <v>854</v>
      </c>
    </row>
    <row r="779" spans="1:5" x14ac:dyDescent="0.2">
      <c r="A779">
        <v>4627599125</v>
      </c>
      <c r="B779" t="s">
        <v>1176</v>
      </c>
      <c r="C779">
        <v>4627599130</v>
      </c>
      <c r="E779" t="s">
        <v>825</v>
      </c>
    </row>
    <row r="780" spans="1:5" x14ac:dyDescent="0.2">
      <c r="A780">
        <v>4634979041</v>
      </c>
      <c r="B780" t="s">
        <v>1177</v>
      </c>
      <c r="C780">
        <v>4206125548</v>
      </c>
      <c r="E780" t="s">
        <v>697</v>
      </c>
    </row>
    <row r="781" spans="1:5" x14ac:dyDescent="0.2">
      <c r="A781">
        <v>4655595228</v>
      </c>
      <c r="B781" t="s">
        <v>1178</v>
      </c>
      <c r="C781">
        <v>4206125548</v>
      </c>
      <c r="E781" t="s">
        <v>697</v>
      </c>
    </row>
    <row r="782" spans="1:5" x14ac:dyDescent="0.2">
      <c r="A782">
        <v>4658703773</v>
      </c>
      <c r="B782" t="s">
        <v>1179</v>
      </c>
      <c r="C782">
        <v>4206125548</v>
      </c>
      <c r="E782" t="s">
        <v>697</v>
      </c>
    </row>
    <row r="783" spans="1:5" x14ac:dyDescent="0.2">
      <c r="A783">
        <v>4702287958</v>
      </c>
      <c r="B783" t="s">
        <v>1180</v>
      </c>
      <c r="C783">
        <v>4702287964</v>
      </c>
      <c r="E783" t="s">
        <v>867</v>
      </c>
    </row>
    <row r="784" spans="1:5" x14ac:dyDescent="0.2">
      <c r="A784">
        <v>4702287958</v>
      </c>
      <c r="B784" t="s">
        <v>1180</v>
      </c>
      <c r="C784">
        <v>4702287967</v>
      </c>
      <c r="E784" t="s">
        <v>866</v>
      </c>
    </row>
    <row r="785" spans="1:5" x14ac:dyDescent="0.2">
      <c r="A785">
        <v>4702790911</v>
      </c>
      <c r="B785" t="s">
        <v>1181</v>
      </c>
      <c r="C785">
        <v>4206125548</v>
      </c>
      <c r="E785" t="s">
        <v>697</v>
      </c>
    </row>
    <row r="786" spans="1:5" x14ac:dyDescent="0.2">
      <c r="A786">
        <v>4703709643</v>
      </c>
      <c r="B786" t="s">
        <v>930</v>
      </c>
      <c r="C786">
        <v>4206125548</v>
      </c>
      <c r="E786" t="s">
        <v>697</v>
      </c>
    </row>
    <row r="787" spans="1:5" x14ac:dyDescent="0.2">
      <c r="A787">
        <v>4706229681</v>
      </c>
      <c r="B787" t="s">
        <v>1182</v>
      </c>
      <c r="C787">
        <v>4206125548</v>
      </c>
      <c r="E787" t="s">
        <v>697</v>
      </c>
    </row>
    <row r="788" spans="1:5" x14ac:dyDescent="0.2">
      <c r="A788">
        <v>4714172756</v>
      </c>
      <c r="B788" t="s">
        <v>1183</v>
      </c>
      <c r="C788">
        <v>4206125548</v>
      </c>
      <c r="E788" t="s">
        <v>697</v>
      </c>
    </row>
    <row r="789" spans="1:5" x14ac:dyDescent="0.2">
      <c r="A789">
        <v>4714251466</v>
      </c>
      <c r="B789" t="s">
        <v>1184</v>
      </c>
      <c r="C789">
        <v>4206125548</v>
      </c>
      <c r="E789" t="s">
        <v>697</v>
      </c>
    </row>
    <row r="790" spans="1:5" x14ac:dyDescent="0.2">
      <c r="A790">
        <v>4719327587</v>
      </c>
      <c r="B790" t="s">
        <v>1185</v>
      </c>
      <c r="C790">
        <v>4206125548</v>
      </c>
      <c r="E790" t="s">
        <v>697</v>
      </c>
    </row>
    <row r="791" spans="1:5" x14ac:dyDescent="0.2">
      <c r="A791">
        <v>4719518712</v>
      </c>
      <c r="B791" t="s">
        <v>1186</v>
      </c>
      <c r="C791">
        <v>4206125548</v>
      </c>
      <c r="E791" t="s">
        <v>697</v>
      </c>
    </row>
    <row r="792" spans="1:5" x14ac:dyDescent="0.2">
      <c r="A792">
        <v>4721148868</v>
      </c>
      <c r="B792" t="s">
        <v>1187</v>
      </c>
      <c r="C792">
        <v>4206125548</v>
      </c>
      <c r="E792" t="s">
        <v>697</v>
      </c>
    </row>
    <row r="793" spans="1:5" x14ac:dyDescent="0.2">
      <c r="A793">
        <v>4749058191</v>
      </c>
      <c r="B793" t="s">
        <v>1188</v>
      </c>
      <c r="C793">
        <v>4750133668</v>
      </c>
      <c r="E793" t="s">
        <v>851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4"/>
  </sheetPr>
  <dimension ref="A1:AG246"/>
  <sheetViews>
    <sheetView showGridLines="0" tabSelected="1" zoomScale="98" zoomScaleNormal="98" workbookViewId="0">
      <pane ySplit="6" topLeftCell="A7" activePane="bottomLeft" state="frozen"/>
      <selection pane="bottomLeft" sqref="A1:AF1"/>
    </sheetView>
  </sheetViews>
  <sheetFormatPr defaultRowHeight="11.25" x14ac:dyDescent="0.2"/>
  <cols>
    <col min="1" max="1" width="9.7109375" style="59" customWidth="1"/>
    <col min="2" max="2" width="37.7109375" style="67" customWidth="1"/>
    <col min="3" max="3" width="17.7109375" style="68" customWidth="1"/>
    <col min="4" max="4" width="11.7109375" style="59" customWidth="1"/>
    <col min="5" max="9" width="7.7109375" style="59" customWidth="1"/>
    <col min="10" max="16" width="7.7109375" style="67" customWidth="1"/>
    <col min="17" max="17" width="7.7109375" style="59" customWidth="1"/>
    <col min="18" max="19" width="9.7109375" style="59" customWidth="1"/>
    <col min="20" max="20" width="9.7109375" style="75" customWidth="1"/>
    <col min="21" max="21" width="12.7109375" style="75" customWidth="1"/>
    <col min="22" max="22" width="9.7109375" style="67" customWidth="1"/>
    <col min="23" max="23" width="4.7109375" style="59" customWidth="1"/>
    <col min="24" max="24" width="9.28515625" style="68" customWidth="1"/>
    <col min="25" max="25" width="12.28515625" style="59" customWidth="1"/>
    <col min="26" max="26" width="0.85546875" style="68" customWidth="1"/>
    <col min="27" max="29" width="0.85546875" style="67" customWidth="1"/>
    <col min="30" max="31" width="9.7109375" style="67" customWidth="1"/>
    <col min="32" max="32" width="0.85546875" style="67" customWidth="1"/>
    <col min="33" max="16384" width="9.140625" style="49"/>
  </cols>
  <sheetData>
    <row r="1" spans="1:32" ht="28.5" customHeight="1" thickBot="1" x14ac:dyDescent="0.4">
      <c r="A1" s="114" t="s">
        <v>1212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6"/>
    </row>
    <row r="2" spans="1:32" ht="20.100000000000001" customHeight="1" x14ac:dyDescent="0.2">
      <c r="A2" s="61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2"/>
    </row>
    <row r="3" spans="1:32" ht="37.5" customHeight="1" x14ac:dyDescent="0.2">
      <c r="A3" s="61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2"/>
    </row>
    <row r="4" spans="1:32" ht="16.5" customHeight="1" thickBo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2"/>
    </row>
    <row r="5" spans="1:32" s="99" customFormat="1" ht="20.100000000000001" customHeight="1" x14ac:dyDescent="0.2">
      <c r="A5" s="102" t="s">
        <v>271</v>
      </c>
      <c r="B5" s="91" t="s">
        <v>0</v>
      </c>
      <c r="C5" s="92" t="s">
        <v>209</v>
      </c>
      <c r="D5" s="93" t="s">
        <v>216</v>
      </c>
      <c r="E5" s="93" t="s">
        <v>217</v>
      </c>
      <c r="F5" s="93" t="s">
        <v>243</v>
      </c>
      <c r="G5" s="90" t="s">
        <v>213</v>
      </c>
      <c r="H5" s="90" t="s">
        <v>49</v>
      </c>
      <c r="I5" s="90" t="s">
        <v>50</v>
      </c>
      <c r="J5" s="93" t="s">
        <v>215</v>
      </c>
      <c r="K5" s="93"/>
      <c r="L5" s="93"/>
      <c r="M5" s="93" t="s">
        <v>473</v>
      </c>
      <c r="N5" s="93" t="s">
        <v>219</v>
      </c>
      <c r="O5" s="93" t="s">
        <v>218</v>
      </c>
      <c r="P5" s="93" t="s">
        <v>220</v>
      </c>
      <c r="Q5" s="93" t="s">
        <v>221</v>
      </c>
      <c r="R5" s="94" t="s">
        <v>478</v>
      </c>
      <c r="S5" s="94" t="s">
        <v>479</v>
      </c>
      <c r="T5" s="95"/>
      <c r="U5" s="95"/>
      <c r="V5" s="96"/>
      <c r="W5" s="97"/>
      <c r="X5" s="98"/>
      <c r="Y5" s="97"/>
      <c r="Z5" s="98"/>
      <c r="AA5" s="96"/>
      <c r="AB5" s="96"/>
      <c r="AC5" s="96"/>
      <c r="AD5" s="96"/>
      <c r="AE5" s="96"/>
      <c r="AF5" s="101"/>
    </row>
    <row r="6" spans="1:32" s="99" customFormat="1" ht="20.100000000000001" customHeight="1" thickBot="1" x14ac:dyDescent="0.25">
      <c r="A6" s="103"/>
      <c r="B6" s="104"/>
      <c r="C6" s="105"/>
      <c r="D6" s="106"/>
      <c r="E6" s="106"/>
      <c r="F6" s="106"/>
      <c r="G6" s="107" t="s">
        <v>310</v>
      </c>
      <c r="H6" s="107" t="s">
        <v>310</v>
      </c>
      <c r="I6" s="107" t="s">
        <v>310</v>
      </c>
      <c r="J6" s="107" t="s">
        <v>213</v>
      </c>
      <c r="K6" s="107" t="s">
        <v>49</v>
      </c>
      <c r="L6" s="107" t="s">
        <v>50</v>
      </c>
      <c r="M6" s="106"/>
      <c r="N6" s="106"/>
      <c r="O6" s="106"/>
      <c r="P6" s="106"/>
      <c r="Q6" s="106"/>
      <c r="R6" s="108"/>
      <c r="S6" s="108"/>
      <c r="T6" s="109" t="s">
        <v>319</v>
      </c>
      <c r="U6" s="109" t="s">
        <v>320</v>
      </c>
      <c r="V6" s="110" t="s">
        <v>433</v>
      </c>
      <c r="W6" s="111" t="s">
        <v>434</v>
      </c>
      <c r="X6" s="112" t="s">
        <v>435</v>
      </c>
      <c r="Y6" s="111" t="s">
        <v>436</v>
      </c>
      <c r="Z6" s="112"/>
      <c r="AA6" s="110"/>
      <c r="AB6" s="110"/>
      <c r="AC6" s="110"/>
      <c r="AD6" s="110" t="s">
        <v>1189</v>
      </c>
      <c r="AE6" s="110" t="s">
        <v>1190</v>
      </c>
      <c r="AF6" s="113"/>
    </row>
    <row r="7" spans="1:32" s="54" customFormat="1" ht="11.45" customHeight="1" x14ac:dyDescent="0.2">
      <c r="A7" s="51" t="s">
        <v>321</v>
      </c>
      <c r="B7" s="50" t="s">
        <v>574</v>
      </c>
      <c r="C7" s="65" t="s">
        <v>222</v>
      </c>
      <c r="D7" s="51">
        <v>30</v>
      </c>
      <c r="E7" s="51">
        <v>110</v>
      </c>
      <c r="F7" s="51">
        <v>110</v>
      </c>
      <c r="G7" s="51">
        <v>0</v>
      </c>
      <c r="H7" s="51">
        <v>0</v>
      </c>
      <c r="I7" s="51">
        <v>1</v>
      </c>
      <c r="J7" s="51">
        <v>15</v>
      </c>
      <c r="K7" s="51">
        <v>41</v>
      </c>
      <c r="L7" s="51">
        <v>55</v>
      </c>
      <c r="M7" s="51">
        <f>(G7*J7)+(H7*K7)+(I7*L7)</f>
        <v>55</v>
      </c>
      <c r="N7" s="88">
        <f t="shared" ref="N7:N37" si="0">(D7/30)*M7</f>
        <v>55</v>
      </c>
      <c r="O7" s="89">
        <f t="shared" ref="O7:O37" si="1">N7+((D7/30)*M7)</f>
        <v>110</v>
      </c>
      <c r="P7" s="87">
        <f t="shared" ref="P7:P37" si="2">N7+E7</f>
        <v>165</v>
      </c>
      <c r="Q7" s="52">
        <v>2</v>
      </c>
      <c r="R7" s="52"/>
      <c r="S7" s="53"/>
      <c r="T7" s="69">
        <v>2.79</v>
      </c>
      <c r="U7" s="76">
        <f>(T7*Q7)+(V7*W7)</f>
        <v>5.7774999999999999</v>
      </c>
      <c r="V7" s="50">
        <v>3.95</v>
      </c>
      <c r="W7" s="80">
        <v>0.05</v>
      </c>
      <c r="X7" s="83">
        <f>(T7+V7)+W7</f>
        <v>6.79</v>
      </c>
      <c r="Y7" s="86">
        <f t="shared" ref="Y7:Y38" si="3">X7*Q7</f>
        <v>13.58</v>
      </c>
      <c r="Z7" s="83"/>
      <c r="AA7" s="50"/>
      <c r="AB7" s="50"/>
      <c r="AC7" s="50"/>
      <c r="AD7" s="50">
        <v>2204409082</v>
      </c>
      <c r="AE7" s="50">
        <v>3268959880</v>
      </c>
      <c r="AF7" s="50"/>
    </row>
    <row r="8" spans="1:32" s="54" customFormat="1" ht="11.45" customHeight="1" x14ac:dyDescent="0.2">
      <c r="A8" s="51" t="s">
        <v>322</v>
      </c>
      <c r="B8" s="50" t="s">
        <v>585</v>
      </c>
      <c r="C8" s="65" t="s">
        <v>222</v>
      </c>
      <c r="D8" s="51">
        <v>30</v>
      </c>
      <c r="E8" s="51">
        <v>110</v>
      </c>
      <c r="F8" s="51">
        <v>110</v>
      </c>
      <c r="G8" s="51">
        <v>0</v>
      </c>
      <c r="H8" s="51">
        <v>0</v>
      </c>
      <c r="I8" s="51">
        <v>1</v>
      </c>
      <c r="J8" s="51">
        <v>15</v>
      </c>
      <c r="K8" s="51">
        <v>41</v>
      </c>
      <c r="L8" s="51">
        <v>55</v>
      </c>
      <c r="M8" s="51">
        <f t="shared" ref="M8:M63" si="4">(G8*J8)+(H8*K8)+(I8*L8)</f>
        <v>55</v>
      </c>
      <c r="N8" s="88">
        <f t="shared" si="0"/>
        <v>55</v>
      </c>
      <c r="O8" s="89">
        <f t="shared" si="1"/>
        <v>110</v>
      </c>
      <c r="P8" s="87">
        <f t="shared" si="2"/>
        <v>165</v>
      </c>
      <c r="Q8" s="52">
        <v>4992</v>
      </c>
      <c r="R8" s="52"/>
      <c r="S8" s="53"/>
      <c r="T8" s="69">
        <v>9.0399999999999991</v>
      </c>
      <c r="U8" s="76">
        <f>(T8*Q8)+(V8*W8)</f>
        <v>45127.877499999995</v>
      </c>
      <c r="V8" s="50">
        <v>3.95</v>
      </c>
      <c r="W8" s="80">
        <v>0.05</v>
      </c>
      <c r="X8" s="83">
        <f t="shared" ref="X8:X62" si="5">(T8+V8)+W8</f>
        <v>13.04</v>
      </c>
      <c r="Y8" s="86">
        <f t="shared" si="3"/>
        <v>65095.679999999993</v>
      </c>
      <c r="Z8" s="65"/>
      <c r="AA8" s="50"/>
      <c r="AB8" s="50"/>
      <c r="AC8" s="50"/>
      <c r="AD8" s="50">
        <v>2204409082</v>
      </c>
      <c r="AE8" s="50">
        <v>3268963259</v>
      </c>
      <c r="AF8" s="50"/>
    </row>
    <row r="9" spans="1:32" s="54" customFormat="1" ht="11.45" customHeight="1" x14ac:dyDescent="0.2">
      <c r="A9" s="51" t="s">
        <v>323</v>
      </c>
      <c r="B9" s="50" t="s">
        <v>584</v>
      </c>
      <c r="C9" s="65" t="s">
        <v>222</v>
      </c>
      <c r="D9" s="51">
        <v>30</v>
      </c>
      <c r="E9" s="51">
        <v>110</v>
      </c>
      <c r="F9" s="51">
        <v>110</v>
      </c>
      <c r="G9" s="51">
        <v>0</v>
      </c>
      <c r="H9" s="51">
        <v>0</v>
      </c>
      <c r="I9" s="51">
        <v>1</v>
      </c>
      <c r="J9" s="51">
        <v>15</v>
      </c>
      <c r="K9" s="51">
        <v>41</v>
      </c>
      <c r="L9" s="51">
        <v>55</v>
      </c>
      <c r="M9" s="51">
        <f t="shared" si="4"/>
        <v>55</v>
      </c>
      <c r="N9" s="88">
        <f t="shared" si="0"/>
        <v>55</v>
      </c>
      <c r="O9" s="89">
        <f t="shared" si="1"/>
        <v>110</v>
      </c>
      <c r="P9" s="87">
        <f t="shared" si="2"/>
        <v>165</v>
      </c>
      <c r="Q9" s="52">
        <v>2</v>
      </c>
      <c r="R9" s="52"/>
      <c r="S9" s="53"/>
      <c r="T9" s="69">
        <v>11.72</v>
      </c>
      <c r="U9" s="76">
        <f>(T9*Q9)+V9</f>
        <v>27.39</v>
      </c>
      <c r="V9" s="50">
        <v>3.95</v>
      </c>
      <c r="W9" s="80">
        <v>0.05</v>
      </c>
      <c r="X9" s="83">
        <f t="shared" si="5"/>
        <v>15.720000000000002</v>
      </c>
      <c r="Y9" s="86">
        <f t="shared" si="3"/>
        <v>31.440000000000005</v>
      </c>
      <c r="Z9" s="65"/>
      <c r="AA9" s="50"/>
      <c r="AB9" s="50"/>
      <c r="AC9" s="50"/>
      <c r="AD9" s="50">
        <v>2204409082</v>
      </c>
      <c r="AE9" s="50">
        <v>3268963361</v>
      </c>
      <c r="AF9" s="50"/>
    </row>
    <row r="10" spans="1:32" s="54" customFormat="1" ht="11.45" customHeight="1" x14ac:dyDescent="0.2">
      <c r="A10" s="51" t="s">
        <v>324</v>
      </c>
      <c r="B10" s="50" t="s">
        <v>583</v>
      </c>
      <c r="C10" s="65" t="s">
        <v>222</v>
      </c>
      <c r="D10" s="51">
        <v>30</v>
      </c>
      <c r="E10" s="51">
        <v>110</v>
      </c>
      <c r="F10" s="51">
        <v>110</v>
      </c>
      <c r="G10" s="51">
        <v>0</v>
      </c>
      <c r="H10" s="51">
        <v>0</v>
      </c>
      <c r="I10" s="51">
        <v>1</v>
      </c>
      <c r="J10" s="51">
        <v>15</v>
      </c>
      <c r="K10" s="51">
        <v>41</v>
      </c>
      <c r="L10" s="51">
        <v>55</v>
      </c>
      <c r="M10" s="51">
        <f t="shared" si="4"/>
        <v>55</v>
      </c>
      <c r="N10" s="88">
        <f t="shared" si="0"/>
        <v>55</v>
      </c>
      <c r="O10" s="89">
        <f t="shared" si="1"/>
        <v>110</v>
      </c>
      <c r="P10" s="87">
        <f t="shared" si="2"/>
        <v>165</v>
      </c>
      <c r="Q10" s="52">
        <v>4992</v>
      </c>
      <c r="R10" s="52"/>
      <c r="S10" s="53"/>
      <c r="T10" s="69">
        <v>1.94</v>
      </c>
      <c r="U10" s="76">
        <f>(T10*Q10)+V10</f>
        <v>9688.43</v>
      </c>
      <c r="V10" s="50">
        <v>3.95</v>
      </c>
      <c r="W10" s="80">
        <v>0.05</v>
      </c>
      <c r="X10" s="83">
        <f t="shared" si="5"/>
        <v>5.94</v>
      </c>
      <c r="Y10" s="86">
        <f t="shared" si="3"/>
        <v>29652.480000000003</v>
      </c>
      <c r="Z10" s="65"/>
      <c r="AA10" s="50"/>
      <c r="AB10" s="50"/>
      <c r="AC10" s="50"/>
      <c r="AD10" s="50">
        <v>2204409082</v>
      </c>
      <c r="AE10" s="50">
        <v>3268963476</v>
      </c>
      <c r="AF10" s="50"/>
    </row>
    <row r="11" spans="1:32" s="54" customFormat="1" ht="11.45" customHeight="1" x14ac:dyDescent="0.2">
      <c r="A11" s="51" t="s">
        <v>325</v>
      </c>
      <c r="B11" s="50" t="s">
        <v>582</v>
      </c>
      <c r="C11" s="65" t="s">
        <v>222</v>
      </c>
      <c r="D11" s="51">
        <v>30</v>
      </c>
      <c r="E11" s="51">
        <v>110</v>
      </c>
      <c r="F11" s="51">
        <v>110</v>
      </c>
      <c r="G11" s="51">
        <v>0</v>
      </c>
      <c r="H11" s="51">
        <v>0</v>
      </c>
      <c r="I11" s="51">
        <v>1</v>
      </c>
      <c r="J11" s="51">
        <v>15</v>
      </c>
      <c r="K11" s="51">
        <v>41</v>
      </c>
      <c r="L11" s="51">
        <v>55</v>
      </c>
      <c r="M11" s="51">
        <f t="shared" si="4"/>
        <v>55</v>
      </c>
      <c r="N11" s="88">
        <f t="shared" si="0"/>
        <v>55</v>
      </c>
      <c r="O11" s="89">
        <f t="shared" si="1"/>
        <v>110</v>
      </c>
      <c r="P11" s="87">
        <f t="shared" si="2"/>
        <v>165</v>
      </c>
      <c r="Q11" s="52">
        <v>4992</v>
      </c>
      <c r="R11" s="52"/>
      <c r="S11" s="53"/>
      <c r="T11" s="69">
        <v>2.89</v>
      </c>
      <c r="U11" s="76">
        <f>(T11*Q11)+(V11+W11)</f>
        <v>14430.880000000001</v>
      </c>
      <c r="V11" s="50">
        <v>3.95</v>
      </c>
      <c r="W11" s="80">
        <v>0.05</v>
      </c>
      <c r="X11" s="83">
        <f t="shared" si="5"/>
        <v>6.89</v>
      </c>
      <c r="Y11" s="86">
        <f t="shared" si="3"/>
        <v>34394.879999999997</v>
      </c>
      <c r="Z11" s="65"/>
      <c r="AA11" s="50"/>
      <c r="AB11" s="50"/>
      <c r="AC11" s="50"/>
      <c r="AD11" s="50">
        <v>2204409082</v>
      </c>
      <c r="AE11" s="50">
        <v>3268964040</v>
      </c>
      <c r="AF11" s="50"/>
    </row>
    <row r="12" spans="1:32" s="54" customFormat="1" ht="11.45" customHeight="1" x14ac:dyDescent="0.2">
      <c r="A12" s="51" t="s">
        <v>326</v>
      </c>
      <c r="B12" s="50" t="s">
        <v>573</v>
      </c>
      <c r="C12" s="65" t="s">
        <v>222</v>
      </c>
      <c r="D12" s="51">
        <v>30</v>
      </c>
      <c r="E12" s="51">
        <v>110</v>
      </c>
      <c r="F12" s="51">
        <v>110</v>
      </c>
      <c r="G12" s="51">
        <v>0</v>
      </c>
      <c r="H12" s="51">
        <v>0</v>
      </c>
      <c r="I12" s="51">
        <v>1</v>
      </c>
      <c r="J12" s="51">
        <v>15</v>
      </c>
      <c r="K12" s="51">
        <v>41</v>
      </c>
      <c r="L12" s="51">
        <v>55</v>
      </c>
      <c r="M12" s="51">
        <f t="shared" si="4"/>
        <v>55</v>
      </c>
      <c r="N12" s="88">
        <f t="shared" si="0"/>
        <v>55</v>
      </c>
      <c r="O12" s="89">
        <f t="shared" si="1"/>
        <v>110</v>
      </c>
      <c r="P12" s="87">
        <f t="shared" si="2"/>
        <v>165</v>
      </c>
      <c r="Q12" s="52">
        <v>12</v>
      </c>
      <c r="R12" s="52"/>
      <c r="S12" s="53"/>
      <c r="T12" s="69">
        <v>2.17</v>
      </c>
      <c r="U12" s="76">
        <f t="shared" ref="U12:U43" si="6">T12*Q12</f>
        <v>26.04</v>
      </c>
      <c r="V12" s="50">
        <v>3.95</v>
      </c>
      <c r="W12" s="80">
        <v>0.05</v>
      </c>
      <c r="X12" s="83">
        <f t="shared" si="5"/>
        <v>6.17</v>
      </c>
      <c r="Y12" s="86">
        <f t="shared" si="3"/>
        <v>74.039999999999992</v>
      </c>
      <c r="Z12" s="65"/>
      <c r="AA12" s="50"/>
      <c r="AB12" s="50"/>
      <c r="AC12" s="50"/>
      <c r="AD12" s="50">
        <v>2204409082</v>
      </c>
      <c r="AE12" s="50">
        <v>3268964463</v>
      </c>
      <c r="AF12" s="50"/>
    </row>
    <row r="13" spans="1:32" s="54" customFormat="1" ht="11.45" customHeight="1" x14ac:dyDescent="0.2">
      <c r="A13" s="51" t="s">
        <v>327</v>
      </c>
      <c r="B13" s="50" t="s">
        <v>572</v>
      </c>
      <c r="C13" s="65" t="s">
        <v>222</v>
      </c>
      <c r="D13" s="51">
        <v>30</v>
      </c>
      <c r="E13" s="51">
        <v>250</v>
      </c>
      <c r="F13" s="51">
        <v>250</v>
      </c>
      <c r="G13" s="51">
        <v>0</v>
      </c>
      <c r="H13" s="51">
        <v>0</v>
      </c>
      <c r="I13" s="51">
        <v>2</v>
      </c>
      <c r="J13" s="51">
        <v>15</v>
      </c>
      <c r="K13" s="51">
        <v>41</v>
      </c>
      <c r="L13" s="51">
        <v>55</v>
      </c>
      <c r="M13" s="51">
        <f t="shared" si="4"/>
        <v>110</v>
      </c>
      <c r="N13" s="88">
        <f t="shared" si="0"/>
        <v>110</v>
      </c>
      <c r="O13" s="89">
        <f t="shared" si="1"/>
        <v>220</v>
      </c>
      <c r="P13" s="87">
        <f t="shared" si="2"/>
        <v>360</v>
      </c>
      <c r="Q13" s="52">
        <v>4984</v>
      </c>
      <c r="R13" s="52"/>
      <c r="S13" s="53"/>
      <c r="T13" s="69">
        <v>2.5099999999999998</v>
      </c>
      <c r="U13" s="76">
        <f t="shared" si="6"/>
        <v>12509.839999999998</v>
      </c>
      <c r="V13" s="50">
        <v>3.95</v>
      </c>
      <c r="W13" s="80">
        <v>0.05</v>
      </c>
      <c r="X13" s="83">
        <f t="shared" si="5"/>
        <v>6.51</v>
      </c>
      <c r="Y13" s="86">
        <f t="shared" si="3"/>
        <v>32445.84</v>
      </c>
      <c r="Z13" s="65"/>
      <c r="AA13" s="50"/>
      <c r="AB13" s="50"/>
      <c r="AC13" s="50"/>
      <c r="AD13" s="50">
        <v>2204409082</v>
      </c>
      <c r="AE13" s="50">
        <v>3268964917</v>
      </c>
      <c r="AF13" s="50"/>
    </row>
    <row r="14" spans="1:32" s="54" customFormat="1" ht="11.45" customHeight="1" x14ac:dyDescent="0.2">
      <c r="A14" s="51" t="s">
        <v>328</v>
      </c>
      <c r="B14" s="50" t="s">
        <v>581</v>
      </c>
      <c r="C14" s="65" t="s">
        <v>222</v>
      </c>
      <c r="D14" s="51">
        <v>30</v>
      </c>
      <c r="E14" s="51">
        <v>250</v>
      </c>
      <c r="F14" s="51">
        <v>250</v>
      </c>
      <c r="G14" s="51">
        <v>0</v>
      </c>
      <c r="H14" s="51">
        <v>0</v>
      </c>
      <c r="I14" s="51">
        <v>2</v>
      </c>
      <c r="J14" s="51">
        <v>15</v>
      </c>
      <c r="K14" s="51">
        <v>41</v>
      </c>
      <c r="L14" s="51">
        <v>55</v>
      </c>
      <c r="M14" s="51">
        <f t="shared" si="4"/>
        <v>110</v>
      </c>
      <c r="N14" s="88">
        <f t="shared" si="0"/>
        <v>110</v>
      </c>
      <c r="O14" s="89">
        <f t="shared" si="1"/>
        <v>220</v>
      </c>
      <c r="P14" s="87">
        <f t="shared" si="2"/>
        <v>360</v>
      </c>
      <c r="Q14" s="52">
        <v>4984</v>
      </c>
      <c r="R14" s="52"/>
      <c r="S14" s="53"/>
      <c r="T14" s="69">
        <v>1.08</v>
      </c>
      <c r="U14" s="76">
        <f t="shared" si="6"/>
        <v>5382.72</v>
      </c>
      <c r="V14" s="50">
        <v>3.95</v>
      </c>
      <c r="W14" s="80">
        <v>0.05</v>
      </c>
      <c r="X14" s="83">
        <f t="shared" si="5"/>
        <v>5.08</v>
      </c>
      <c r="Y14" s="86">
        <f t="shared" si="3"/>
        <v>25318.720000000001</v>
      </c>
      <c r="Z14" s="65"/>
      <c r="AA14" s="50"/>
      <c r="AB14" s="50"/>
      <c r="AC14" s="50"/>
      <c r="AD14" s="50">
        <v>2204409082</v>
      </c>
      <c r="AE14" s="50">
        <v>3268965501</v>
      </c>
      <c r="AF14" s="50"/>
    </row>
    <row r="15" spans="1:32" s="54" customFormat="1" ht="11.45" customHeight="1" x14ac:dyDescent="0.2">
      <c r="A15" s="51" t="s">
        <v>329</v>
      </c>
      <c r="B15" s="50" t="s">
        <v>571</v>
      </c>
      <c r="C15" s="65" t="s">
        <v>222</v>
      </c>
      <c r="D15" s="51">
        <v>30</v>
      </c>
      <c r="E15" s="51">
        <v>110</v>
      </c>
      <c r="F15" s="51">
        <v>110</v>
      </c>
      <c r="G15" s="51">
        <v>0</v>
      </c>
      <c r="H15" s="51">
        <v>0</v>
      </c>
      <c r="I15" s="51">
        <v>1</v>
      </c>
      <c r="J15" s="51">
        <v>15</v>
      </c>
      <c r="K15" s="51">
        <v>41</v>
      </c>
      <c r="L15" s="51">
        <v>55</v>
      </c>
      <c r="M15" s="51">
        <f t="shared" si="4"/>
        <v>55</v>
      </c>
      <c r="N15" s="88">
        <f t="shared" si="0"/>
        <v>55</v>
      </c>
      <c r="O15" s="89">
        <f t="shared" si="1"/>
        <v>110</v>
      </c>
      <c r="P15" s="87">
        <f t="shared" si="2"/>
        <v>165</v>
      </c>
      <c r="Q15" s="52">
        <v>4992</v>
      </c>
      <c r="R15" s="52"/>
      <c r="S15" s="53"/>
      <c r="T15" s="69">
        <v>0.89</v>
      </c>
      <c r="U15" s="76">
        <f t="shared" si="6"/>
        <v>4442.88</v>
      </c>
      <c r="V15" s="50">
        <v>3.95</v>
      </c>
      <c r="W15" s="80">
        <v>0.05</v>
      </c>
      <c r="X15" s="83">
        <f t="shared" si="5"/>
        <v>4.8899999999999997</v>
      </c>
      <c r="Y15" s="86">
        <f t="shared" si="3"/>
        <v>24410.879999999997</v>
      </c>
      <c r="Z15" s="65"/>
      <c r="AA15" s="50"/>
      <c r="AB15" s="50"/>
      <c r="AC15" s="50"/>
      <c r="AD15" s="50">
        <v>2204409082</v>
      </c>
      <c r="AE15" s="50">
        <v>3268966764</v>
      </c>
      <c r="AF15" s="50"/>
    </row>
    <row r="16" spans="1:32" s="54" customFormat="1" ht="11.45" customHeight="1" thickBot="1" x14ac:dyDescent="0.25">
      <c r="A16" s="51" t="s">
        <v>330</v>
      </c>
      <c r="B16" s="50" t="s">
        <v>570</v>
      </c>
      <c r="C16" s="65" t="s">
        <v>222</v>
      </c>
      <c r="D16" s="51">
        <v>30</v>
      </c>
      <c r="E16" s="51">
        <v>110</v>
      </c>
      <c r="F16" s="51">
        <v>110</v>
      </c>
      <c r="G16" s="51">
        <v>0</v>
      </c>
      <c r="H16" s="51">
        <v>0</v>
      </c>
      <c r="I16" s="51">
        <v>1</v>
      </c>
      <c r="J16" s="51">
        <v>15</v>
      </c>
      <c r="K16" s="51">
        <v>41</v>
      </c>
      <c r="L16" s="51">
        <v>55</v>
      </c>
      <c r="M16" s="51">
        <f t="shared" si="4"/>
        <v>55</v>
      </c>
      <c r="N16" s="88">
        <f t="shared" si="0"/>
        <v>55</v>
      </c>
      <c r="O16" s="89">
        <f t="shared" si="1"/>
        <v>110</v>
      </c>
      <c r="P16" s="87">
        <f t="shared" si="2"/>
        <v>165</v>
      </c>
      <c r="Q16" s="52">
        <v>4992</v>
      </c>
      <c r="R16" s="52"/>
      <c r="S16" s="53"/>
      <c r="T16" s="69">
        <v>35.770000000000003</v>
      </c>
      <c r="U16" s="76">
        <f t="shared" si="6"/>
        <v>178563.84000000003</v>
      </c>
      <c r="V16" s="50"/>
      <c r="W16" s="80">
        <v>0.05</v>
      </c>
      <c r="X16" s="83">
        <f t="shared" si="5"/>
        <v>35.82</v>
      </c>
      <c r="Y16" s="86">
        <f t="shared" si="3"/>
        <v>178813.44</v>
      </c>
      <c r="Z16" s="65"/>
      <c r="AA16" s="50"/>
      <c r="AB16" s="50"/>
      <c r="AC16" s="50"/>
      <c r="AD16" s="50">
        <v>2204409082</v>
      </c>
      <c r="AE16" s="50">
        <v>3268966932</v>
      </c>
      <c r="AF16" s="50"/>
    </row>
    <row r="17" spans="1:33" s="54" customFormat="1" ht="11.45" customHeight="1" thickBot="1" x14ac:dyDescent="0.25">
      <c r="A17" s="51" t="s">
        <v>331</v>
      </c>
      <c r="B17" s="50" t="s">
        <v>569</v>
      </c>
      <c r="C17" s="65" t="s">
        <v>222</v>
      </c>
      <c r="D17" s="51">
        <v>30</v>
      </c>
      <c r="E17" s="51">
        <v>110</v>
      </c>
      <c r="F17" s="51">
        <v>110</v>
      </c>
      <c r="G17" s="51">
        <v>0</v>
      </c>
      <c r="H17" s="51">
        <v>0</v>
      </c>
      <c r="I17" s="51">
        <v>1</v>
      </c>
      <c r="J17" s="51">
        <v>15</v>
      </c>
      <c r="K17" s="51">
        <v>41</v>
      </c>
      <c r="L17" s="51">
        <v>55</v>
      </c>
      <c r="M17" s="51">
        <f t="shared" si="4"/>
        <v>55</v>
      </c>
      <c r="N17" s="88">
        <f t="shared" si="0"/>
        <v>55</v>
      </c>
      <c r="O17" s="89">
        <f t="shared" si="1"/>
        <v>110</v>
      </c>
      <c r="P17" s="87">
        <f t="shared" si="2"/>
        <v>165</v>
      </c>
      <c r="Q17" s="52">
        <v>4992</v>
      </c>
      <c r="R17" s="52"/>
      <c r="S17" s="53"/>
      <c r="T17" s="69">
        <v>42.49</v>
      </c>
      <c r="U17" s="76">
        <f t="shared" si="6"/>
        <v>212110.08000000002</v>
      </c>
      <c r="V17" s="50"/>
      <c r="W17" s="80">
        <v>0.05</v>
      </c>
      <c r="X17" s="83">
        <f t="shared" si="5"/>
        <v>42.54</v>
      </c>
      <c r="Y17" s="86">
        <f t="shared" si="3"/>
        <v>212359.67999999999</v>
      </c>
      <c r="Z17" s="65"/>
      <c r="AA17" s="50"/>
      <c r="AB17" s="50"/>
      <c r="AC17" s="50"/>
      <c r="AD17" s="50">
        <v>2204409082</v>
      </c>
      <c r="AE17" s="50">
        <v>3268967198</v>
      </c>
      <c r="AF17" s="50"/>
      <c r="AG17" s="100"/>
    </row>
    <row r="18" spans="1:33" s="54" customFormat="1" ht="11.45" customHeight="1" x14ac:dyDescent="0.2">
      <c r="A18" s="51" t="s">
        <v>332</v>
      </c>
      <c r="B18" s="50" t="s">
        <v>568</v>
      </c>
      <c r="C18" s="65" t="s">
        <v>222</v>
      </c>
      <c r="D18" s="51">
        <v>30</v>
      </c>
      <c r="E18" s="51">
        <v>110</v>
      </c>
      <c r="F18" s="51">
        <v>110</v>
      </c>
      <c r="G18" s="51">
        <v>0</v>
      </c>
      <c r="H18" s="51">
        <v>0</v>
      </c>
      <c r="I18" s="51">
        <v>1</v>
      </c>
      <c r="J18" s="51">
        <v>15</v>
      </c>
      <c r="K18" s="51">
        <v>41</v>
      </c>
      <c r="L18" s="51">
        <v>55</v>
      </c>
      <c r="M18" s="51">
        <f t="shared" si="4"/>
        <v>55</v>
      </c>
      <c r="N18" s="88">
        <f t="shared" si="0"/>
        <v>55</v>
      </c>
      <c r="O18" s="89">
        <f t="shared" si="1"/>
        <v>110</v>
      </c>
      <c r="P18" s="87">
        <f t="shared" si="2"/>
        <v>165</v>
      </c>
      <c r="Q18" s="52">
        <v>4992</v>
      </c>
      <c r="R18" s="52"/>
      <c r="S18" s="53"/>
      <c r="T18" s="69">
        <v>2.91</v>
      </c>
      <c r="U18" s="76">
        <f t="shared" si="6"/>
        <v>14526.720000000001</v>
      </c>
      <c r="V18" s="50">
        <v>3.95</v>
      </c>
      <c r="W18" s="80">
        <v>0.05</v>
      </c>
      <c r="X18" s="83">
        <f t="shared" si="5"/>
        <v>6.91</v>
      </c>
      <c r="Y18" s="86">
        <f t="shared" si="3"/>
        <v>34494.720000000001</v>
      </c>
      <c r="Z18" s="65"/>
      <c r="AA18" s="50"/>
      <c r="AB18" s="50"/>
      <c r="AC18" s="50"/>
      <c r="AD18" s="50">
        <v>2204409082</v>
      </c>
      <c r="AE18" s="50">
        <v>3268969660</v>
      </c>
      <c r="AF18" s="50"/>
    </row>
    <row r="19" spans="1:33" s="54" customFormat="1" ht="11.45" customHeight="1" x14ac:dyDescent="0.2">
      <c r="A19" s="51" t="s">
        <v>333</v>
      </c>
      <c r="B19" s="50" t="s">
        <v>577</v>
      </c>
      <c r="C19" s="65" t="s">
        <v>222</v>
      </c>
      <c r="D19" s="51">
        <v>30</v>
      </c>
      <c r="E19" s="51">
        <v>110</v>
      </c>
      <c r="F19" s="51">
        <v>110</v>
      </c>
      <c r="G19" s="51">
        <v>0</v>
      </c>
      <c r="H19" s="51">
        <v>0</v>
      </c>
      <c r="I19" s="51">
        <v>1</v>
      </c>
      <c r="J19" s="51">
        <v>15</v>
      </c>
      <c r="K19" s="51">
        <v>41</v>
      </c>
      <c r="L19" s="51">
        <v>55</v>
      </c>
      <c r="M19" s="51">
        <f t="shared" si="4"/>
        <v>55</v>
      </c>
      <c r="N19" s="88">
        <f t="shared" si="0"/>
        <v>55</v>
      </c>
      <c r="O19" s="89">
        <f t="shared" si="1"/>
        <v>110</v>
      </c>
      <c r="P19" s="87">
        <f t="shared" si="2"/>
        <v>165</v>
      </c>
      <c r="Q19" s="52">
        <v>4992</v>
      </c>
      <c r="R19" s="52"/>
      <c r="S19" s="53"/>
      <c r="T19" s="69">
        <v>2.23</v>
      </c>
      <c r="U19" s="76">
        <f t="shared" si="6"/>
        <v>11132.16</v>
      </c>
      <c r="V19" s="50">
        <v>3.95</v>
      </c>
      <c r="W19" s="80">
        <v>0.05</v>
      </c>
      <c r="X19" s="83">
        <f t="shared" si="5"/>
        <v>6.2299999999999995</v>
      </c>
      <c r="Y19" s="86">
        <f t="shared" si="3"/>
        <v>31100.159999999996</v>
      </c>
      <c r="Z19" s="65"/>
      <c r="AA19" s="50"/>
      <c r="AB19" s="50"/>
      <c r="AC19" s="50"/>
      <c r="AD19" s="50">
        <v>2204409082</v>
      </c>
      <c r="AE19" s="50">
        <v>3268969833</v>
      </c>
      <c r="AF19" s="50"/>
    </row>
    <row r="20" spans="1:33" s="54" customFormat="1" ht="11.45" customHeight="1" x14ac:dyDescent="0.2">
      <c r="A20" s="51" t="s">
        <v>334</v>
      </c>
      <c r="B20" s="50" t="s">
        <v>89</v>
      </c>
      <c r="C20" s="65" t="s">
        <v>222</v>
      </c>
      <c r="D20" s="51">
        <v>30</v>
      </c>
      <c r="E20" s="51">
        <v>110</v>
      </c>
      <c r="F20" s="51">
        <v>110</v>
      </c>
      <c r="G20" s="51">
        <v>0</v>
      </c>
      <c r="H20" s="51">
        <v>0</v>
      </c>
      <c r="I20" s="51">
        <v>1</v>
      </c>
      <c r="J20" s="51">
        <v>15</v>
      </c>
      <c r="K20" s="51">
        <v>41</v>
      </c>
      <c r="L20" s="51">
        <v>55</v>
      </c>
      <c r="M20" s="51">
        <f t="shared" si="4"/>
        <v>55</v>
      </c>
      <c r="N20" s="88">
        <f t="shared" si="0"/>
        <v>55</v>
      </c>
      <c r="O20" s="89">
        <f t="shared" si="1"/>
        <v>110</v>
      </c>
      <c r="P20" s="87">
        <f t="shared" si="2"/>
        <v>165</v>
      </c>
      <c r="Q20" s="52">
        <v>4992</v>
      </c>
      <c r="R20" s="52"/>
      <c r="S20" s="53"/>
      <c r="T20" s="69">
        <v>1.03</v>
      </c>
      <c r="U20" s="76">
        <f t="shared" si="6"/>
        <v>5141.76</v>
      </c>
      <c r="V20" s="50">
        <v>3.95</v>
      </c>
      <c r="W20" s="80">
        <v>0.05</v>
      </c>
      <c r="X20" s="83">
        <f t="shared" si="5"/>
        <v>5.03</v>
      </c>
      <c r="Y20" s="86">
        <f t="shared" si="3"/>
        <v>25109.760000000002</v>
      </c>
      <c r="Z20" s="65"/>
      <c r="AA20" s="50"/>
      <c r="AB20" s="50"/>
      <c r="AC20" s="50"/>
      <c r="AD20" s="50">
        <v>2204409082</v>
      </c>
      <c r="AE20" s="50">
        <v>3268971851</v>
      </c>
      <c r="AF20" s="50"/>
    </row>
    <row r="21" spans="1:33" s="54" customFormat="1" ht="11.45" customHeight="1" x14ac:dyDescent="0.2">
      <c r="A21" s="51" t="s">
        <v>335</v>
      </c>
      <c r="B21" s="50" t="s">
        <v>306</v>
      </c>
      <c r="C21" s="65" t="s">
        <v>222</v>
      </c>
      <c r="D21" s="51">
        <v>30</v>
      </c>
      <c r="E21" s="51">
        <v>110</v>
      </c>
      <c r="F21" s="51">
        <v>110</v>
      </c>
      <c r="G21" s="51">
        <v>0</v>
      </c>
      <c r="H21" s="51">
        <v>0</v>
      </c>
      <c r="I21" s="51">
        <v>1</v>
      </c>
      <c r="J21" s="51">
        <v>15</v>
      </c>
      <c r="K21" s="51">
        <v>41</v>
      </c>
      <c r="L21" s="51">
        <v>55</v>
      </c>
      <c r="M21" s="51">
        <f t="shared" si="4"/>
        <v>55</v>
      </c>
      <c r="N21" s="88">
        <f t="shared" si="0"/>
        <v>55</v>
      </c>
      <c r="O21" s="89">
        <f t="shared" si="1"/>
        <v>110</v>
      </c>
      <c r="P21" s="87">
        <f t="shared" si="2"/>
        <v>165</v>
      </c>
      <c r="Q21" s="52">
        <v>4992</v>
      </c>
      <c r="R21" s="52"/>
      <c r="S21" s="53"/>
      <c r="T21" s="69">
        <v>3.09</v>
      </c>
      <c r="U21" s="76">
        <f t="shared" si="6"/>
        <v>15425.279999999999</v>
      </c>
      <c r="V21" s="50">
        <v>3.95</v>
      </c>
      <c r="W21" s="80">
        <v>0.05</v>
      </c>
      <c r="X21" s="83">
        <f t="shared" si="5"/>
        <v>7.09</v>
      </c>
      <c r="Y21" s="86">
        <f t="shared" si="3"/>
        <v>35393.279999999999</v>
      </c>
      <c r="Z21" s="65"/>
      <c r="AA21" s="50"/>
      <c r="AB21" s="50"/>
      <c r="AC21" s="50"/>
      <c r="AD21" s="50">
        <v>2204409082</v>
      </c>
      <c r="AE21" s="50">
        <v>3268972308</v>
      </c>
      <c r="AF21" s="50"/>
    </row>
    <row r="22" spans="1:33" s="54" customFormat="1" ht="11.45" customHeight="1" x14ac:dyDescent="0.2">
      <c r="A22" s="51" t="s">
        <v>336</v>
      </c>
      <c r="B22" s="50" t="s">
        <v>482</v>
      </c>
      <c r="C22" s="65" t="s">
        <v>222</v>
      </c>
      <c r="D22" s="51">
        <v>30</v>
      </c>
      <c r="E22" s="51">
        <v>110</v>
      </c>
      <c r="F22" s="51">
        <v>110</v>
      </c>
      <c r="G22" s="51">
        <v>0</v>
      </c>
      <c r="H22" s="51">
        <v>0</v>
      </c>
      <c r="I22" s="51">
        <v>1</v>
      </c>
      <c r="J22" s="51">
        <v>15</v>
      </c>
      <c r="K22" s="51">
        <v>41</v>
      </c>
      <c r="L22" s="51">
        <v>55</v>
      </c>
      <c r="M22" s="51">
        <f t="shared" si="4"/>
        <v>55</v>
      </c>
      <c r="N22" s="88">
        <f t="shared" si="0"/>
        <v>55</v>
      </c>
      <c r="O22" s="89">
        <f t="shared" si="1"/>
        <v>110</v>
      </c>
      <c r="P22" s="87">
        <f t="shared" si="2"/>
        <v>165</v>
      </c>
      <c r="Q22" s="52">
        <v>4992</v>
      </c>
      <c r="R22" s="52"/>
      <c r="S22" s="53"/>
      <c r="T22" s="69">
        <v>1.72</v>
      </c>
      <c r="U22" s="76">
        <f t="shared" si="6"/>
        <v>8586.24</v>
      </c>
      <c r="V22" s="50">
        <v>3.95</v>
      </c>
      <c r="W22" s="80">
        <v>0.05</v>
      </c>
      <c r="X22" s="83">
        <f t="shared" si="5"/>
        <v>5.72</v>
      </c>
      <c r="Y22" s="86">
        <f t="shared" si="3"/>
        <v>28554.239999999998</v>
      </c>
      <c r="Z22" s="65"/>
      <c r="AA22" s="50"/>
      <c r="AB22" s="50"/>
      <c r="AC22" s="50"/>
      <c r="AD22" s="50">
        <v>2204409082</v>
      </c>
      <c r="AE22" s="50">
        <v>3268977614</v>
      </c>
      <c r="AF22" s="50"/>
    </row>
    <row r="23" spans="1:33" s="54" customFormat="1" ht="11.45" customHeight="1" x14ac:dyDescent="0.2">
      <c r="A23" s="51" t="s">
        <v>337</v>
      </c>
      <c r="B23" s="50" t="s">
        <v>556</v>
      </c>
      <c r="C23" s="65" t="s">
        <v>222</v>
      </c>
      <c r="D23" s="51">
        <v>30</v>
      </c>
      <c r="E23" s="51">
        <v>90</v>
      </c>
      <c r="F23" s="51">
        <v>90</v>
      </c>
      <c r="G23" s="51">
        <v>0</v>
      </c>
      <c r="H23" s="51">
        <v>1</v>
      </c>
      <c r="I23" s="51">
        <v>0</v>
      </c>
      <c r="J23" s="51">
        <v>15</v>
      </c>
      <c r="K23" s="51">
        <v>41</v>
      </c>
      <c r="L23" s="51">
        <v>55</v>
      </c>
      <c r="M23" s="51">
        <f t="shared" si="4"/>
        <v>41</v>
      </c>
      <c r="N23" s="88">
        <f t="shared" si="0"/>
        <v>41</v>
      </c>
      <c r="O23" s="89">
        <f t="shared" si="1"/>
        <v>82</v>
      </c>
      <c r="P23" s="87">
        <f t="shared" si="2"/>
        <v>131</v>
      </c>
      <c r="Q23" s="52">
        <v>5000</v>
      </c>
      <c r="R23" s="52"/>
      <c r="S23" s="53"/>
      <c r="T23" s="69">
        <v>7.99</v>
      </c>
      <c r="U23" s="76">
        <f t="shared" si="6"/>
        <v>39950</v>
      </c>
      <c r="V23" s="50">
        <v>3.95</v>
      </c>
      <c r="W23" s="80">
        <v>0.05</v>
      </c>
      <c r="X23" s="83">
        <f t="shared" si="5"/>
        <v>11.990000000000002</v>
      </c>
      <c r="Y23" s="86">
        <f t="shared" si="3"/>
        <v>59950.000000000007</v>
      </c>
      <c r="Z23" s="65"/>
      <c r="AA23" s="50"/>
      <c r="AB23" s="50"/>
      <c r="AC23" s="50"/>
      <c r="AD23" s="50">
        <v>2204409082</v>
      </c>
      <c r="AE23" s="50">
        <v>2224925695</v>
      </c>
      <c r="AF23" s="50"/>
    </row>
    <row r="24" spans="1:33" s="54" customFormat="1" ht="11.45" customHeight="1" x14ac:dyDescent="0.2">
      <c r="A24" s="51" t="s">
        <v>338</v>
      </c>
      <c r="B24" s="50" t="s">
        <v>557</v>
      </c>
      <c r="C24" s="65" t="s">
        <v>222</v>
      </c>
      <c r="D24" s="51">
        <v>30</v>
      </c>
      <c r="E24" s="51">
        <v>90</v>
      </c>
      <c r="F24" s="51">
        <v>90</v>
      </c>
      <c r="G24" s="51">
        <v>0</v>
      </c>
      <c r="H24" s="51">
        <v>1</v>
      </c>
      <c r="I24" s="51">
        <v>0</v>
      </c>
      <c r="J24" s="51">
        <v>15</v>
      </c>
      <c r="K24" s="51">
        <v>41</v>
      </c>
      <c r="L24" s="51">
        <v>55</v>
      </c>
      <c r="M24" s="51">
        <f t="shared" si="4"/>
        <v>41</v>
      </c>
      <c r="N24" s="88">
        <f t="shared" si="0"/>
        <v>41</v>
      </c>
      <c r="O24" s="89">
        <f t="shared" si="1"/>
        <v>82</v>
      </c>
      <c r="P24" s="87">
        <f t="shared" si="2"/>
        <v>131</v>
      </c>
      <c r="Q24" s="52">
        <v>5000</v>
      </c>
      <c r="R24" s="52"/>
      <c r="S24" s="53"/>
      <c r="T24" s="69">
        <v>10.43</v>
      </c>
      <c r="U24" s="76">
        <f t="shared" si="6"/>
        <v>52150</v>
      </c>
      <c r="V24" s="50">
        <v>3.95</v>
      </c>
      <c r="W24" s="80">
        <v>0.05</v>
      </c>
      <c r="X24" s="83">
        <f t="shared" si="5"/>
        <v>14.43</v>
      </c>
      <c r="Y24" s="86">
        <f t="shared" si="3"/>
        <v>72150</v>
      </c>
      <c r="Z24" s="65"/>
      <c r="AA24" s="50"/>
      <c r="AB24" s="50"/>
      <c r="AC24" s="50"/>
      <c r="AD24" s="50">
        <v>2204409082</v>
      </c>
      <c r="AE24" s="50">
        <v>3268870437</v>
      </c>
      <c r="AF24" s="50"/>
    </row>
    <row r="25" spans="1:33" s="54" customFormat="1" ht="11.45" customHeight="1" x14ac:dyDescent="0.2">
      <c r="A25" s="51" t="s">
        <v>339</v>
      </c>
      <c r="B25" s="50" t="s">
        <v>564</v>
      </c>
      <c r="C25" s="65" t="s">
        <v>222</v>
      </c>
      <c r="D25" s="51">
        <v>30</v>
      </c>
      <c r="E25" s="51">
        <v>90</v>
      </c>
      <c r="F25" s="51">
        <v>90</v>
      </c>
      <c r="G25" s="51">
        <v>0</v>
      </c>
      <c r="H25" s="51">
        <v>1</v>
      </c>
      <c r="I25" s="51">
        <v>0</v>
      </c>
      <c r="J25" s="51">
        <v>15</v>
      </c>
      <c r="K25" s="51">
        <v>41</v>
      </c>
      <c r="L25" s="51">
        <v>55</v>
      </c>
      <c r="M25" s="51">
        <f t="shared" si="4"/>
        <v>41</v>
      </c>
      <c r="N25" s="88">
        <f t="shared" si="0"/>
        <v>41</v>
      </c>
      <c r="O25" s="89">
        <f t="shared" si="1"/>
        <v>82</v>
      </c>
      <c r="P25" s="87">
        <f t="shared" si="2"/>
        <v>131</v>
      </c>
      <c r="Q25" s="52">
        <v>5000</v>
      </c>
      <c r="R25" s="52"/>
      <c r="S25" s="53"/>
      <c r="T25" s="69">
        <v>37.11</v>
      </c>
      <c r="U25" s="76">
        <f t="shared" si="6"/>
        <v>185550</v>
      </c>
      <c r="V25" s="50"/>
      <c r="W25" s="80">
        <v>0.05</v>
      </c>
      <c r="X25" s="83">
        <v>37.11</v>
      </c>
      <c r="Y25" s="86">
        <f t="shared" si="3"/>
        <v>185550</v>
      </c>
      <c r="Z25" s="65"/>
      <c r="AA25" s="50"/>
      <c r="AB25" s="50"/>
      <c r="AC25" s="50"/>
      <c r="AD25" s="50">
        <v>2204409082</v>
      </c>
      <c r="AE25" s="50">
        <v>3268882683</v>
      </c>
      <c r="AF25" s="50"/>
    </row>
    <row r="26" spans="1:33" s="54" customFormat="1" ht="11.45" customHeight="1" x14ac:dyDescent="0.2">
      <c r="A26" s="51" t="s">
        <v>340</v>
      </c>
      <c r="B26" s="50" t="s">
        <v>562</v>
      </c>
      <c r="C26" s="65" t="s">
        <v>222</v>
      </c>
      <c r="D26" s="51">
        <v>30</v>
      </c>
      <c r="E26" s="51">
        <v>90</v>
      </c>
      <c r="F26" s="51">
        <v>90</v>
      </c>
      <c r="G26" s="51">
        <v>0</v>
      </c>
      <c r="H26" s="51">
        <v>1</v>
      </c>
      <c r="I26" s="51">
        <v>0</v>
      </c>
      <c r="J26" s="51">
        <v>15</v>
      </c>
      <c r="K26" s="51">
        <v>41</v>
      </c>
      <c r="L26" s="51">
        <v>55</v>
      </c>
      <c r="M26" s="51">
        <f t="shared" si="4"/>
        <v>41</v>
      </c>
      <c r="N26" s="88">
        <f t="shared" si="0"/>
        <v>41</v>
      </c>
      <c r="O26" s="89">
        <f t="shared" si="1"/>
        <v>82</v>
      </c>
      <c r="P26" s="87">
        <f t="shared" si="2"/>
        <v>131</v>
      </c>
      <c r="Q26" s="52">
        <v>5000</v>
      </c>
      <c r="R26" s="52"/>
      <c r="S26" s="53"/>
      <c r="T26" s="69">
        <v>48.25</v>
      </c>
      <c r="U26" s="76">
        <f t="shared" si="6"/>
        <v>241250</v>
      </c>
      <c r="V26" s="50"/>
      <c r="W26" s="80">
        <v>0.05</v>
      </c>
      <c r="X26" s="83">
        <v>48.25</v>
      </c>
      <c r="Y26" s="86">
        <f t="shared" si="3"/>
        <v>241250</v>
      </c>
      <c r="Z26" s="65"/>
      <c r="AA26" s="50"/>
      <c r="AB26" s="50"/>
      <c r="AC26" s="50"/>
      <c r="AD26" s="50">
        <v>2204409082</v>
      </c>
      <c r="AE26" s="50">
        <v>3268870713</v>
      </c>
      <c r="AF26" s="50"/>
    </row>
    <row r="27" spans="1:33" s="54" customFormat="1" ht="11.45" customHeight="1" x14ac:dyDescent="0.2">
      <c r="A27" s="51" t="s">
        <v>341</v>
      </c>
      <c r="B27" s="50" t="s">
        <v>5</v>
      </c>
      <c r="C27" s="65" t="s">
        <v>222</v>
      </c>
      <c r="D27" s="51">
        <v>30</v>
      </c>
      <c r="E27" s="51">
        <v>90</v>
      </c>
      <c r="F27" s="51">
        <v>90</v>
      </c>
      <c r="G27" s="51">
        <v>0</v>
      </c>
      <c r="H27" s="51">
        <v>1</v>
      </c>
      <c r="I27" s="51">
        <v>0</v>
      </c>
      <c r="J27" s="51">
        <v>15</v>
      </c>
      <c r="K27" s="51">
        <v>41</v>
      </c>
      <c r="L27" s="51">
        <v>55</v>
      </c>
      <c r="M27" s="51">
        <f t="shared" si="4"/>
        <v>41</v>
      </c>
      <c r="N27" s="88">
        <f t="shared" si="0"/>
        <v>41</v>
      </c>
      <c r="O27" s="89">
        <f t="shared" si="1"/>
        <v>82</v>
      </c>
      <c r="P27" s="87">
        <f t="shared" si="2"/>
        <v>131</v>
      </c>
      <c r="Q27" s="52">
        <v>5000</v>
      </c>
      <c r="R27" s="52"/>
      <c r="S27" s="53"/>
      <c r="T27" s="69">
        <v>2.39</v>
      </c>
      <c r="U27" s="76">
        <f t="shared" si="6"/>
        <v>11950</v>
      </c>
      <c r="V27" s="50">
        <v>3.95</v>
      </c>
      <c r="W27" s="80">
        <v>0.05</v>
      </c>
      <c r="X27" s="83">
        <f t="shared" si="5"/>
        <v>6.39</v>
      </c>
      <c r="Y27" s="86">
        <f t="shared" si="3"/>
        <v>31950</v>
      </c>
      <c r="Z27" s="65"/>
      <c r="AA27" s="50"/>
      <c r="AB27" s="50"/>
      <c r="AC27" s="50"/>
      <c r="AD27" s="50">
        <v>2204409082</v>
      </c>
      <c r="AE27" s="50">
        <v>3268883011</v>
      </c>
      <c r="AF27" s="50"/>
    </row>
    <row r="28" spans="1:33" s="54" customFormat="1" ht="11.45" customHeight="1" x14ac:dyDescent="0.2">
      <c r="A28" s="51" t="s">
        <v>342</v>
      </c>
      <c r="B28" s="50" t="s">
        <v>483</v>
      </c>
      <c r="C28" s="65" t="s">
        <v>222</v>
      </c>
      <c r="D28" s="51">
        <v>30</v>
      </c>
      <c r="E28" s="51">
        <v>90</v>
      </c>
      <c r="F28" s="51">
        <v>90</v>
      </c>
      <c r="G28" s="51">
        <v>0</v>
      </c>
      <c r="H28" s="51">
        <v>1</v>
      </c>
      <c r="I28" s="51">
        <v>0</v>
      </c>
      <c r="J28" s="51">
        <v>15</v>
      </c>
      <c r="K28" s="51">
        <v>41</v>
      </c>
      <c r="L28" s="51">
        <v>55</v>
      </c>
      <c r="M28" s="51">
        <f t="shared" si="4"/>
        <v>41</v>
      </c>
      <c r="N28" s="88">
        <f t="shared" si="0"/>
        <v>41</v>
      </c>
      <c r="O28" s="89">
        <f t="shared" si="1"/>
        <v>82</v>
      </c>
      <c r="P28" s="87">
        <f t="shared" si="2"/>
        <v>131</v>
      </c>
      <c r="Q28" s="52">
        <v>5000</v>
      </c>
      <c r="R28" s="52"/>
      <c r="S28" s="53"/>
      <c r="T28" s="69">
        <v>2.68</v>
      </c>
      <c r="U28" s="76">
        <f t="shared" si="6"/>
        <v>13400</v>
      </c>
      <c r="V28" s="50">
        <v>3.95</v>
      </c>
      <c r="W28" s="80">
        <v>0.05</v>
      </c>
      <c r="X28" s="83">
        <f t="shared" si="5"/>
        <v>6.6800000000000006</v>
      </c>
      <c r="Y28" s="86">
        <f t="shared" si="3"/>
        <v>33400</v>
      </c>
      <c r="Z28" s="65"/>
      <c r="AA28" s="50"/>
      <c r="AB28" s="50"/>
      <c r="AC28" s="50"/>
      <c r="AD28" s="50">
        <v>2204409082</v>
      </c>
      <c r="AE28" s="50">
        <v>3268883910</v>
      </c>
      <c r="AF28" s="50"/>
    </row>
    <row r="29" spans="1:33" s="54" customFormat="1" ht="11.45" customHeight="1" x14ac:dyDescent="0.2">
      <c r="A29" s="51" t="s">
        <v>343</v>
      </c>
      <c r="B29" s="50" t="s">
        <v>16</v>
      </c>
      <c r="C29" s="65" t="s">
        <v>222</v>
      </c>
      <c r="D29" s="51">
        <v>30</v>
      </c>
      <c r="E29" s="51">
        <v>170</v>
      </c>
      <c r="F29" s="51">
        <v>170</v>
      </c>
      <c r="G29" s="51">
        <v>0</v>
      </c>
      <c r="H29" s="51">
        <v>2</v>
      </c>
      <c r="I29" s="51">
        <v>0</v>
      </c>
      <c r="J29" s="51">
        <v>15</v>
      </c>
      <c r="K29" s="51">
        <v>41</v>
      </c>
      <c r="L29" s="51">
        <v>55</v>
      </c>
      <c r="M29" s="51">
        <f t="shared" si="4"/>
        <v>82</v>
      </c>
      <c r="N29" s="88">
        <f t="shared" si="0"/>
        <v>82</v>
      </c>
      <c r="O29" s="89">
        <f t="shared" si="1"/>
        <v>164</v>
      </c>
      <c r="P29" s="87">
        <f t="shared" si="2"/>
        <v>252</v>
      </c>
      <c r="Q29" s="52">
        <v>5000</v>
      </c>
      <c r="R29" s="52"/>
      <c r="S29" s="53"/>
      <c r="T29" s="69">
        <v>1.21</v>
      </c>
      <c r="U29" s="76">
        <f t="shared" si="6"/>
        <v>6050</v>
      </c>
      <c r="V29" s="50">
        <v>3.95</v>
      </c>
      <c r="W29" s="80">
        <v>0.05</v>
      </c>
      <c r="X29" s="83">
        <f t="shared" si="5"/>
        <v>5.21</v>
      </c>
      <c r="Y29" s="86">
        <f t="shared" si="3"/>
        <v>26050</v>
      </c>
      <c r="Z29" s="65"/>
      <c r="AA29" s="50"/>
      <c r="AB29" s="50"/>
      <c r="AC29" s="50"/>
      <c r="AD29" s="50">
        <v>2204409082</v>
      </c>
      <c r="AE29" s="50">
        <v>3268904557</v>
      </c>
      <c r="AF29" s="50"/>
    </row>
    <row r="30" spans="1:33" s="54" customFormat="1" ht="11.45" customHeight="1" x14ac:dyDescent="0.2">
      <c r="A30" s="51" t="s">
        <v>344</v>
      </c>
      <c r="B30" s="50" t="s">
        <v>9</v>
      </c>
      <c r="C30" s="65" t="s">
        <v>222</v>
      </c>
      <c r="D30" s="51">
        <v>30</v>
      </c>
      <c r="E30" s="51">
        <v>90</v>
      </c>
      <c r="F30" s="51">
        <v>90</v>
      </c>
      <c r="G30" s="51">
        <v>0</v>
      </c>
      <c r="H30" s="51">
        <v>1</v>
      </c>
      <c r="I30" s="51">
        <v>0</v>
      </c>
      <c r="J30" s="51">
        <v>15</v>
      </c>
      <c r="K30" s="51">
        <v>41</v>
      </c>
      <c r="L30" s="51">
        <v>55</v>
      </c>
      <c r="M30" s="51">
        <f t="shared" si="4"/>
        <v>41</v>
      </c>
      <c r="N30" s="88">
        <f t="shared" si="0"/>
        <v>41</v>
      </c>
      <c r="O30" s="89">
        <f t="shared" si="1"/>
        <v>82</v>
      </c>
      <c r="P30" s="87">
        <f t="shared" si="2"/>
        <v>131</v>
      </c>
      <c r="Q30" s="52">
        <v>5000</v>
      </c>
      <c r="R30" s="52"/>
      <c r="S30" s="53"/>
      <c r="T30" s="69">
        <v>1.64</v>
      </c>
      <c r="U30" s="76">
        <f t="shared" si="6"/>
        <v>8200</v>
      </c>
      <c r="V30" s="50">
        <v>3.95</v>
      </c>
      <c r="W30" s="80">
        <v>0.05</v>
      </c>
      <c r="X30" s="83">
        <f t="shared" si="5"/>
        <v>5.64</v>
      </c>
      <c r="Y30" s="86">
        <f t="shared" si="3"/>
        <v>28200</v>
      </c>
      <c r="Z30" s="65"/>
      <c r="AA30" s="50"/>
      <c r="AB30" s="50"/>
      <c r="AC30" s="50"/>
      <c r="AD30" s="50">
        <v>2204409082</v>
      </c>
      <c r="AE30" s="50">
        <v>3268904823</v>
      </c>
      <c r="AF30" s="50"/>
    </row>
    <row r="31" spans="1:33" s="54" customFormat="1" ht="11.45" customHeight="1" x14ac:dyDescent="0.2">
      <c r="A31" s="51" t="s">
        <v>345</v>
      </c>
      <c r="B31" s="50" t="s">
        <v>10</v>
      </c>
      <c r="C31" s="65" t="s">
        <v>222</v>
      </c>
      <c r="D31" s="51">
        <v>30</v>
      </c>
      <c r="E31" s="51">
        <v>90</v>
      </c>
      <c r="F31" s="51">
        <v>90</v>
      </c>
      <c r="G31" s="51">
        <v>0</v>
      </c>
      <c r="H31" s="51">
        <v>1</v>
      </c>
      <c r="I31" s="51">
        <v>0</v>
      </c>
      <c r="J31" s="51">
        <v>15</v>
      </c>
      <c r="K31" s="51">
        <v>41</v>
      </c>
      <c r="L31" s="51">
        <v>55</v>
      </c>
      <c r="M31" s="51">
        <f t="shared" si="4"/>
        <v>41</v>
      </c>
      <c r="N31" s="88">
        <f t="shared" si="0"/>
        <v>41</v>
      </c>
      <c r="O31" s="89">
        <f t="shared" si="1"/>
        <v>82</v>
      </c>
      <c r="P31" s="87">
        <f t="shared" si="2"/>
        <v>131</v>
      </c>
      <c r="Q31" s="52">
        <v>5000</v>
      </c>
      <c r="R31" s="52"/>
      <c r="S31" s="53"/>
      <c r="T31" s="69">
        <v>2.37</v>
      </c>
      <c r="U31" s="76">
        <f t="shared" si="6"/>
        <v>11850</v>
      </c>
      <c r="V31" s="50">
        <v>3.95</v>
      </c>
      <c r="W31" s="80">
        <v>0.05</v>
      </c>
      <c r="X31" s="83">
        <f t="shared" si="5"/>
        <v>6.37</v>
      </c>
      <c r="Y31" s="86">
        <f t="shared" si="3"/>
        <v>31850</v>
      </c>
      <c r="Z31" s="65"/>
      <c r="AA31" s="50"/>
      <c r="AB31" s="50"/>
      <c r="AC31" s="50"/>
      <c r="AD31" s="50">
        <v>2204409082</v>
      </c>
      <c r="AE31" s="50">
        <v>3268933847</v>
      </c>
      <c r="AF31" s="50"/>
    </row>
    <row r="32" spans="1:33" s="54" customFormat="1" ht="11.45" customHeight="1" x14ac:dyDescent="0.2">
      <c r="A32" s="51" t="s">
        <v>346</v>
      </c>
      <c r="B32" s="50" t="s">
        <v>11</v>
      </c>
      <c r="C32" s="65" t="s">
        <v>222</v>
      </c>
      <c r="D32" s="51">
        <v>30</v>
      </c>
      <c r="E32" s="51">
        <v>90</v>
      </c>
      <c r="F32" s="51">
        <v>90</v>
      </c>
      <c r="G32" s="51">
        <v>0</v>
      </c>
      <c r="H32" s="51">
        <v>1</v>
      </c>
      <c r="I32" s="51">
        <v>0</v>
      </c>
      <c r="J32" s="51">
        <v>15</v>
      </c>
      <c r="K32" s="51">
        <v>41</v>
      </c>
      <c r="L32" s="51">
        <v>55</v>
      </c>
      <c r="M32" s="51">
        <f t="shared" si="4"/>
        <v>41</v>
      </c>
      <c r="N32" s="88">
        <f t="shared" si="0"/>
        <v>41</v>
      </c>
      <c r="O32" s="89">
        <f t="shared" si="1"/>
        <v>82</v>
      </c>
      <c r="P32" s="87">
        <f t="shared" si="2"/>
        <v>131</v>
      </c>
      <c r="Q32" s="52">
        <v>5000</v>
      </c>
      <c r="R32" s="52"/>
      <c r="S32" s="53"/>
      <c r="T32" s="69">
        <v>1.82</v>
      </c>
      <c r="U32" s="76">
        <f t="shared" si="6"/>
        <v>9100</v>
      </c>
      <c r="V32" s="50">
        <v>3.95</v>
      </c>
      <c r="W32" s="80">
        <v>0.05</v>
      </c>
      <c r="X32" s="83">
        <f t="shared" si="5"/>
        <v>5.82</v>
      </c>
      <c r="Y32" s="86">
        <f t="shared" si="3"/>
        <v>29100</v>
      </c>
      <c r="Z32" s="65"/>
      <c r="AA32" s="50"/>
      <c r="AB32" s="50"/>
      <c r="AC32" s="50"/>
      <c r="AD32" s="50">
        <v>2204409082</v>
      </c>
      <c r="AE32" s="50">
        <v>3268934062</v>
      </c>
      <c r="AF32" s="50"/>
    </row>
    <row r="33" spans="1:32" s="54" customFormat="1" ht="11.45" customHeight="1" x14ac:dyDescent="0.2">
      <c r="A33" s="51" t="s">
        <v>347</v>
      </c>
      <c r="B33" s="50" t="s">
        <v>45</v>
      </c>
      <c r="C33" s="65" t="s">
        <v>222</v>
      </c>
      <c r="D33" s="51">
        <v>30</v>
      </c>
      <c r="E33" s="51">
        <v>180</v>
      </c>
      <c r="F33" s="51">
        <v>180</v>
      </c>
      <c r="G33" s="51">
        <v>0</v>
      </c>
      <c r="H33" s="51">
        <v>2</v>
      </c>
      <c r="I33" s="51">
        <v>0</v>
      </c>
      <c r="J33" s="51">
        <v>15</v>
      </c>
      <c r="K33" s="51">
        <v>41</v>
      </c>
      <c r="L33" s="51">
        <v>55</v>
      </c>
      <c r="M33" s="51">
        <f t="shared" si="4"/>
        <v>82</v>
      </c>
      <c r="N33" s="88">
        <f t="shared" si="0"/>
        <v>82</v>
      </c>
      <c r="O33" s="89">
        <f t="shared" si="1"/>
        <v>164</v>
      </c>
      <c r="P33" s="87">
        <f t="shared" si="2"/>
        <v>262</v>
      </c>
      <c r="Q33" s="52">
        <v>5000</v>
      </c>
      <c r="R33" s="52"/>
      <c r="S33" s="53"/>
      <c r="T33" s="69">
        <v>2.78</v>
      </c>
      <c r="U33" s="76">
        <f t="shared" si="6"/>
        <v>13899.999999999998</v>
      </c>
      <c r="V33" s="50">
        <v>3.95</v>
      </c>
      <c r="W33" s="80">
        <v>0.05</v>
      </c>
      <c r="X33" s="83">
        <f t="shared" si="5"/>
        <v>6.78</v>
      </c>
      <c r="Y33" s="86">
        <f t="shared" si="3"/>
        <v>33900</v>
      </c>
      <c r="Z33" s="65"/>
      <c r="AA33" s="50"/>
      <c r="AB33" s="50"/>
      <c r="AC33" s="50"/>
      <c r="AD33" s="50">
        <v>2204409082</v>
      </c>
      <c r="AE33" s="50">
        <v>3268934222</v>
      </c>
      <c r="AF33" s="50"/>
    </row>
    <row r="34" spans="1:32" s="54" customFormat="1" ht="11.45" customHeight="1" x14ac:dyDescent="0.2">
      <c r="A34" s="51" t="s">
        <v>348</v>
      </c>
      <c r="B34" s="50" t="s">
        <v>30</v>
      </c>
      <c r="C34" s="65" t="s">
        <v>222</v>
      </c>
      <c r="D34" s="51">
        <v>30</v>
      </c>
      <c r="E34" s="51">
        <v>350</v>
      </c>
      <c r="F34" s="51">
        <v>1000</v>
      </c>
      <c r="G34" s="51">
        <v>0</v>
      </c>
      <c r="H34" s="51">
        <v>4</v>
      </c>
      <c r="I34" s="51">
        <v>4</v>
      </c>
      <c r="J34" s="51">
        <v>15</v>
      </c>
      <c r="K34" s="51">
        <v>41</v>
      </c>
      <c r="L34" s="51">
        <v>55</v>
      </c>
      <c r="M34" s="51">
        <f t="shared" si="4"/>
        <v>384</v>
      </c>
      <c r="N34" s="88">
        <f t="shared" si="0"/>
        <v>384</v>
      </c>
      <c r="O34" s="89">
        <f t="shared" si="1"/>
        <v>768</v>
      </c>
      <c r="P34" s="87">
        <f t="shared" si="2"/>
        <v>734</v>
      </c>
      <c r="Q34" s="52">
        <v>4968</v>
      </c>
      <c r="R34" s="52"/>
      <c r="S34" s="53"/>
      <c r="T34" s="69">
        <v>2.15</v>
      </c>
      <c r="U34" s="76">
        <f t="shared" si="6"/>
        <v>10681.199999999999</v>
      </c>
      <c r="V34" s="50">
        <v>3.95</v>
      </c>
      <c r="W34" s="80">
        <v>0.05</v>
      </c>
      <c r="X34" s="83">
        <f t="shared" si="5"/>
        <v>6.1499999999999995</v>
      </c>
      <c r="Y34" s="86">
        <f t="shared" si="3"/>
        <v>30553.199999999997</v>
      </c>
      <c r="Z34" s="65"/>
      <c r="AA34" s="50"/>
      <c r="AB34" s="50"/>
      <c r="AC34" s="50"/>
      <c r="AD34" s="50">
        <v>2204409082</v>
      </c>
      <c r="AE34" s="50">
        <v>3268955471</v>
      </c>
      <c r="AF34" s="50"/>
    </row>
    <row r="35" spans="1:32" s="54" customFormat="1" ht="11.45" customHeight="1" x14ac:dyDescent="0.2">
      <c r="A35" s="51" t="s">
        <v>349</v>
      </c>
      <c r="B35" s="50" t="s">
        <v>32</v>
      </c>
      <c r="C35" s="65" t="s">
        <v>222</v>
      </c>
      <c r="D35" s="51">
        <v>30</v>
      </c>
      <c r="E35" s="51">
        <v>90</v>
      </c>
      <c r="F35" s="51">
        <v>90</v>
      </c>
      <c r="G35" s="51">
        <v>0</v>
      </c>
      <c r="H35" s="51">
        <v>1</v>
      </c>
      <c r="I35" s="51">
        <v>0</v>
      </c>
      <c r="J35" s="51">
        <v>15</v>
      </c>
      <c r="K35" s="51">
        <v>41</v>
      </c>
      <c r="L35" s="51">
        <v>55</v>
      </c>
      <c r="M35" s="51">
        <f t="shared" si="4"/>
        <v>41</v>
      </c>
      <c r="N35" s="88">
        <f t="shared" si="0"/>
        <v>41</v>
      </c>
      <c r="O35" s="89">
        <f t="shared" si="1"/>
        <v>82</v>
      </c>
      <c r="P35" s="87">
        <f t="shared" si="2"/>
        <v>131</v>
      </c>
      <c r="Q35" s="52">
        <v>5000</v>
      </c>
      <c r="R35" s="52"/>
      <c r="S35" s="53"/>
      <c r="T35" s="69">
        <v>2.7</v>
      </c>
      <c r="U35" s="76">
        <f t="shared" si="6"/>
        <v>13500</v>
      </c>
      <c r="V35" s="50">
        <v>3.95</v>
      </c>
      <c r="W35" s="80">
        <v>0.05</v>
      </c>
      <c r="X35" s="83">
        <f t="shared" si="5"/>
        <v>6.7</v>
      </c>
      <c r="Y35" s="86">
        <f t="shared" si="3"/>
        <v>33500</v>
      </c>
      <c r="Z35" s="65"/>
      <c r="AA35" s="50"/>
      <c r="AB35" s="50"/>
      <c r="AC35" s="50"/>
      <c r="AD35" s="50">
        <v>2204409082</v>
      </c>
      <c r="AE35" s="50">
        <v>3268936298</v>
      </c>
      <c r="AF35" s="50"/>
    </row>
    <row r="36" spans="1:32" s="54" customFormat="1" ht="11.45" customHeight="1" x14ac:dyDescent="0.2">
      <c r="A36" s="51" t="s">
        <v>350</v>
      </c>
      <c r="B36" s="50" t="s">
        <v>14</v>
      </c>
      <c r="C36" s="65" t="s">
        <v>222</v>
      </c>
      <c r="D36" s="51">
        <v>30</v>
      </c>
      <c r="E36" s="51">
        <v>200</v>
      </c>
      <c r="F36" s="51">
        <v>200</v>
      </c>
      <c r="G36" s="51">
        <v>0</v>
      </c>
      <c r="H36" s="51">
        <v>1</v>
      </c>
      <c r="I36" s="51">
        <v>1</v>
      </c>
      <c r="J36" s="51">
        <v>15</v>
      </c>
      <c r="K36" s="51">
        <v>41</v>
      </c>
      <c r="L36" s="51">
        <v>55</v>
      </c>
      <c r="M36" s="51">
        <f t="shared" si="4"/>
        <v>96</v>
      </c>
      <c r="N36" s="88">
        <f t="shared" si="0"/>
        <v>96</v>
      </c>
      <c r="O36" s="89">
        <f t="shared" si="1"/>
        <v>192</v>
      </c>
      <c r="P36" s="87">
        <f t="shared" si="2"/>
        <v>296</v>
      </c>
      <c r="Q36" s="52">
        <v>4992</v>
      </c>
      <c r="R36" s="52"/>
      <c r="S36" s="53"/>
      <c r="T36" s="69">
        <v>2.66</v>
      </c>
      <c r="U36" s="76">
        <f t="shared" si="6"/>
        <v>13278.720000000001</v>
      </c>
      <c r="V36" s="50">
        <v>3.95</v>
      </c>
      <c r="W36" s="80">
        <v>0.05</v>
      </c>
      <c r="X36" s="83">
        <f t="shared" si="5"/>
        <v>6.66</v>
      </c>
      <c r="Y36" s="86">
        <f t="shared" si="3"/>
        <v>33246.720000000001</v>
      </c>
      <c r="Z36" s="65"/>
      <c r="AA36" s="50"/>
      <c r="AB36" s="50"/>
      <c r="AC36" s="50"/>
      <c r="AD36" s="50">
        <v>2204409082</v>
      </c>
      <c r="AE36" s="50">
        <v>3268953450</v>
      </c>
      <c r="AF36" s="50"/>
    </row>
    <row r="37" spans="1:32" s="54" customFormat="1" ht="11.45" customHeight="1" x14ac:dyDescent="0.2">
      <c r="A37" s="51" t="s">
        <v>351</v>
      </c>
      <c r="B37" s="50" t="s">
        <v>29</v>
      </c>
      <c r="C37" s="65" t="s">
        <v>222</v>
      </c>
      <c r="D37" s="51">
        <v>30</v>
      </c>
      <c r="E37" s="51">
        <v>90</v>
      </c>
      <c r="F37" s="51">
        <v>90</v>
      </c>
      <c r="G37" s="51">
        <v>0</v>
      </c>
      <c r="H37" s="51">
        <v>1</v>
      </c>
      <c r="I37" s="51">
        <v>0</v>
      </c>
      <c r="J37" s="51">
        <v>15</v>
      </c>
      <c r="K37" s="51">
        <v>41</v>
      </c>
      <c r="L37" s="51">
        <v>55</v>
      </c>
      <c r="M37" s="51">
        <f t="shared" si="4"/>
        <v>41</v>
      </c>
      <c r="N37" s="88">
        <f t="shared" si="0"/>
        <v>41</v>
      </c>
      <c r="O37" s="89">
        <f t="shared" si="1"/>
        <v>82</v>
      </c>
      <c r="P37" s="87">
        <f t="shared" si="2"/>
        <v>131</v>
      </c>
      <c r="Q37" s="52">
        <v>5000</v>
      </c>
      <c r="R37" s="52"/>
      <c r="S37" s="53"/>
      <c r="T37" s="69">
        <v>0.83</v>
      </c>
      <c r="U37" s="76">
        <f t="shared" si="6"/>
        <v>4150</v>
      </c>
      <c r="V37" s="50">
        <v>3.95</v>
      </c>
      <c r="W37" s="80">
        <v>0.05</v>
      </c>
      <c r="X37" s="83">
        <f t="shared" si="5"/>
        <v>4.83</v>
      </c>
      <c r="Y37" s="86">
        <f t="shared" si="3"/>
        <v>24150</v>
      </c>
      <c r="Z37" s="65"/>
      <c r="AA37" s="50"/>
      <c r="AB37" s="50"/>
      <c r="AC37" s="50"/>
      <c r="AD37" s="50">
        <v>2204409082</v>
      </c>
      <c r="AE37" s="50">
        <v>3268936488</v>
      </c>
      <c r="AF37" s="50"/>
    </row>
    <row r="38" spans="1:32" s="54" customFormat="1" ht="11.45" customHeight="1" x14ac:dyDescent="0.2">
      <c r="A38" s="51" t="s">
        <v>352</v>
      </c>
      <c r="B38" s="50" t="s">
        <v>566</v>
      </c>
      <c r="C38" s="65" t="s">
        <v>222</v>
      </c>
      <c r="D38" s="51">
        <v>30</v>
      </c>
      <c r="E38" s="51">
        <v>200</v>
      </c>
      <c r="F38" s="51">
        <v>200</v>
      </c>
      <c r="G38" s="51">
        <v>0</v>
      </c>
      <c r="H38" s="51">
        <v>1</v>
      </c>
      <c r="I38" s="51">
        <v>1</v>
      </c>
      <c r="J38" s="51">
        <v>15</v>
      </c>
      <c r="K38" s="51">
        <v>41</v>
      </c>
      <c r="L38" s="51">
        <v>55</v>
      </c>
      <c r="M38" s="51">
        <f t="shared" si="4"/>
        <v>96</v>
      </c>
      <c r="N38" s="88">
        <f t="shared" ref="N38:N63" si="7">(D38/30)*M38</f>
        <v>96</v>
      </c>
      <c r="O38" s="89">
        <f t="shared" ref="O38:O63" si="8">N38+((D38/30)*M38)</f>
        <v>192</v>
      </c>
      <c r="P38" s="87">
        <f t="shared" ref="P38:P63" si="9">N38+E38</f>
        <v>296</v>
      </c>
      <c r="Q38" s="52">
        <v>4992</v>
      </c>
      <c r="R38" s="52"/>
      <c r="S38" s="53"/>
      <c r="T38" s="69">
        <v>35.409999999999997</v>
      </c>
      <c r="U38" s="76">
        <f t="shared" si="6"/>
        <v>176766.71999999997</v>
      </c>
      <c r="V38" s="50"/>
      <c r="W38" s="80">
        <v>0.05</v>
      </c>
      <c r="X38" s="83">
        <f t="shared" si="5"/>
        <v>35.459999999999994</v>
      </c>
      <c r="Y38" s="86">
        <f t="shared" si="3"/>
        <v>177016.31999999998</v>
      </c>
      <c r="Z38" s="65"/>
      <c r="AA38" s="50"/>
      <c r="AB38" s="50"/>
      <c r="AC38" s="50"/>
      <c r="AD38" s="50">
        <v>2204409082</v>
      </c>
      <c r="AE38" s="50">
        <v>3268955618</v>
      </c>
      <c r="AF38" s="50"/>
    </row>
    <row r="39" spans="1:32" s="54" customFormat="1" ht="11.45" customHeight="1" x14ac:dyDescent="0.2">
      <c r="A39" s="51" t="s">
        <v>353</v>
      </c>
      <c r="B39" s="50" t="s">
        <v>18</v>
      </c>
      <c r="C39" s="65" t="s">
        <v>222</v>
      </c>
      <c r="D39" s="51">
        <v>30</v>
      </c>
      <c r="E39" s="51">
        <v>200</v>
      </c>
      <c r="F39" s="51">
        <v>200</v>
      </c>
      <c r="G39" s="51">
        <v>0</v>
      </c>
      <c r="H39" s="51">
        <v>1</v>
      </c>
      <c r="I39" s="51">
        <v>1</v>
      </c>
      <c r="J39" s="51">
        <v>15</v>
      </c>
      <c r="K39" s="51">
        <v>41</v>
      </c>
      <c r="L39" s="51">
        <v>55</v>
      </c>
      <c r="M39" s="51">
        <f t="shared" si="4"/>
        <v>96</v>
      </c>
      <c r="N39" s="88">
        <f t="shared" si="7"/>
        <v>96</v>
      </c>
      <c r="O39" s="89">
        <f t="shared" si="8"/>
        <v>192</v>
      </c>
      <c r="P39" s="87">
        <f t="shared" si="9"/>
        <v>296</v>
      </c>
      <c r="Q39" s="52">
        <v>4992</v>
      </c>
      <c r="R39" s="52"/>
      <c r="S39" s="53"/>
      <c r="T39" s="69">
        <v>7.5</v>
      </c>
      <c r="U39" s="76">
        <f t="shared" si="6"/>
        <v>37440</v>
      </c>
      <c r="V39" s="50">
        <v>3.95</v>
      </c>
      <c r="W39" s="80">
        <v>0.05</v>
      </c>
      <c r="X39" s="83">
        <f t="shared" si="5"/>
        <v>11.5</v>
      </c>
      <c r="Y39" s="86">
        <f t="shared" ref="Y39:Y62" si="10">X39*Q39</f>
        <v>57408</v>
      </c>
      <c r="Z39" s="65"/>
      <c r="AA39" s="50"/>
      <c r="AB39" s="50"/>
      <c r="AC39" s="50"/>
      <c r="AD39" s="50">
        <v>2204409082</v>
      </c>
      <c r="AE39" s="50">
        <v>3268955755</v>
      </c>
      <c r="AF39" s="50"/>
    </row>
    <row r="40" spans="1:32" s="54" customFormat="1" ht="11.45" customHeight="1" x14ac:dyDescent="0.2">
      <c r="A40" s="51" t="s">
        <v>354</v>
      </c>
      <c r="B40" s="50" t="s">
        <v>567</v>
      </c>
      <c r="C40" s="65" t="s">
        <v>222</v>
      </c>
      <c r="D40" s="51">
        <v>30</v>
      </c>
      <c r="E40" s="51">
        <v>200</v>
      </c>
      <c r="F40" s="51">
        <v>200</v>
      </c>
      <c r="G40" s="51">
        <v>0</v>
      </c>
      <c r="H40" s="51">
        <v>1</v>
      </c>
      <c r="I40" s="51">
        <v>1</v>
      </c>
      <c r="J40" s="51">
        <v>15</v>
      </c>
      <c r="K40" s="51">
        <v>41</v>
      </c>
      <c r="L40" s="51">
        <v>55</v>
      </c>
      <c r="M40" s="51">
        <f t="shared" si="4"/>
        <v>96</v>
      </c>
      <c r="N40" s="88">
        <f t="shared" si="7"/>
        <v>96</v>
      </c>
      <c r="O40" s="89">
        <f t="shared" si="8"/>
        <v>192</v>
      </c>
      <c r="P40" s="87">
        <f t="shared" si="9"/>
        <v>296</v>
      </c>
      <c r="Q40" s="52">
        <v>4992</v>
      </c>
      <c r="R40" s="52"/>
      <c r="S40" s="53"/>
      <c r="T40" s="69">
        <v>54.3</v>
      </c>
      <c r="U40" s="76">
        <f t="shared" si="6"/>
        <v>271065.59999999998</v>
      </c>
      <c r="V40" s="50"/>
      <c r="W40" s="80">
        <v>0.05</v>
      </c>
      <c r="X40" s="83">
        <f t="shared" si="5"/>
        <v>54.349999999999994</v>
      </c>
      <c r="Y40" s="86">
        <f t="shared" si="10"/>
        <v>271315.19999999995</v>
      </c>
      <c r="Z40" s="65"/>
      <c r="AA40" s="50"/>
      <c r="AB40" s="50"/>
      <c r="AC40" s="50"/>
      <c r="AD40" s="50">
        <v>2204409082</v>
      </c>
      <c r="AE40" s="50">
        <v>3268955908</v>
      </c>
      <c r="AF40" s="50"/>
    </row>
    <row r="41" spans="1:32" s="54" customFormat="1" ht="11.45" customHeight="1" x14ac:dyDescent="0.2">
      <c r="A41" s="51" t="s">
        <v>355</v>
      </c>
      <c r="B41" s="50" t="s">
        <v>22</v>
      </c>
      <c r="C41" s="65" t="s">
        <v>222</v>
      </c>
      <c r="D41" s="51">
        <v>30</v>
      </c>
      <c r="E41" s="51">
        <v>200</v>
      </c>
      <c r="F41" s="51">
        <v>200</v>
      </c>
      <c r="G41" s="51">
        <v>0</v>
      </c>
      <c r="H41" s="51">
        <v>1</v>
      </c>
      <c r="I41" s="51">
        <v>1</v>
      </c>
      <c r="J41" s="51">
        <v>15</v>
      </c>
      <c r="K41" s="51">
        <v>41</v>
      </c>
      <c r="L41" s="51">
        <v>55</v>
      </c>
      <c r="M41" s="51">
        <f t="shared" si="4"/>
        <v>96</v>
      </c>
      <c r="N41" s="88">
        <f t="shared" si="7"/>
        <v>96</v>
      </c>
      <c r="O41" s="89">
        <f t="shared" si="8"/>
        <v>192</v>
      </c>
      <c r="P41" s="87">
        <f t="shared" si="9"/>
        <v>296</v>
      </c>
      <c r="Q41" s="52">
        <v>4992</v>
      </c>
      <c r="R41" s="52"/>
      <c r="S41" s="53"/>
      <c r="T41" s="69">
        <v>13.83</v>
      </c>
      <c r="U41" s="76">
        <f t="shared" si="6"/>
        <v>69039.360000000001</v>
      </c>
      <c r="V41" s="50">
        <v>3.95</v>
      </c>
      <c r="W41" s="80">
        <v>0.05</v>
      </c>
      <c r="X41" s="83">
        <f t="shared" si="5"/>
        <v>17.830000000000002</v>
      </c>
      <c r="Y41" s="86">
        <f t="shared" si="10"/>
        <v>89007.360000000015</v>
      </c>
      <c r="Z41" s="65"/>
      <c r="AA41" s="50"/>
      <c r="AB41" s="50"/>
      <c r="AC41" s="50"/>
      <c r="AD41" s="50">
        <v>2204409082</v>
      </c>
      <c r="AE41" s="50">
        <v>3268956087</v>
      </c>
      <c r="AF41" s="50"/>
    </row>
    <row r="42" spans="1:32" s="54" customFormat="1" ht="11.45" customHeight="1" x14ac:dyDescent="0.2">
      <c r="A42" s="51" t="s">
        <v>356</v>
      </c>
      <c r="B42" s="50" t="s">
        <v>20</v>
      </c>
      <c r="C42" s="65" t="s">
        <v>222</v>
      </c>
      <c r="D42" s="51">
        <v>30</v>
      </c>
      <c r="E42" s="51">
        <v>200</v>
      </c>
      <c r="F42" s="51">
        <v>200</v>
      </c>
      <c r="G42" s="51">
        <v>0</v>
      </c>
      <c r="H42" s="51">
        <v>1</v>
      </c>
      <c r="I42" s="51">
        <v>1</v>
      </c>
      <c r="J42" s="51">
        <v>15</v>
      </c>
      <c r="K42" s="51">
        <v>41</v>
      </c>
      <c r="L42" s="51">
        <v>55</v>
      </c>
      <c r="M42" s="51">
        <f t="shared" si="4"/>
        <v>96</v>
      </c>
      <c r="N42" s="88">
        <f t="shared" si="7"/>
        <v>96</v>
      </c>
      <c r="O42" s="89">
        <f t="shared" si="8"/>
        <v>192</v>
      </c>
      <c r="P42" s="87">
        <f t="shared" si="9"/>
        <v>296</v>
      </c>
      <c r="Q42" s="52">
        <v>4992</v>
      </c>
      <c r="R42" s="52"/>
      <c r="S42" s="53"/>
      <c r="T42" s="69">
        <v>9.2200000000000006</v>
      </c>
      <c r="U42" s="76">
        <f t="shared" si="6"/>
        <v>46026.240000000005</v>
      </c>
      <c r="V42" s="50">
        <v>3.95</v>
      </c>
      <c r="W42" s="80">
        <v>0.05</v>
      </c>
      <c r="X42" s="83">
        <f t="shared" si="5"/>
        <v>13.220000000000002</v>
      </c>
      <c r="Y42" s="86">
        <f t="shared" si="10"/>
        <v>65994.240000000005</v>
      </c>
      <c r="Z42" s="65"/>
      <c r="AA42" s="50"/>
      <c r="AB42" s="50"/>
      <c r="AC42" s="50"/>
      <c r="AD42" s="50">
        <v>2204409082</v>
      </c>
      <c r="AE42" s="50">
        <v>3268956392</v>
      </c>
      <c r="AF42" s="50"/>
    </row>
    <row r="43" spans="1:32" s="54" customFormat="1" ht="11.45" customHeight="1" x14ac:dyDescent="0.2">
      <c r="A43" s="51" t="s">
        <v>357</v>
      </c>
      <c r="B43" s="50" t="s">
        <v>21</v>
      </c>
      <c r="C43" s="65" t="s">
        <v>222</v>
      </c>
      <c r="D43" s="51">
        <v>30</v>
      </c>
      <c r="E43" s="51">
        <v>200</v>
      </c>
      <c r="F43" s="51">
        <v>200</v>
      </c>
      <c r="G43" s="51">
        <v>0</v>
      </c>
      <c r="H43" s="51">
        <v>1</v>
      </c>
      <c r="I43" s="51">
        <v>1</v>
      </c>
      <c r="J43" s="51">
        <v>15</v>
      </c>
      <c r="K43" s="51">
        <v>41</v>
      </c>
      <c r="L43" s="51">
        <v>55</v>
      </c>
      <c r="M43" s="51">
        <f t="shared" si="4"/>
        <v>96</v>
      </c>
      <c r="N43" s="88">
        <f t="shared" si="7"/>
        <v>96</v>
      </c>
      <c r="O43" s="89">
        <f t="shared" si="8"/>
        <v>192</v>
      </c>
      <c r="P43" s="87">
        <f t="shared" si="9"/>
        <v>296</v>
      </c>
      <c r="Q43" s="52">
        <v>4992</v>
      </c>
      <c r="R43" s="52"/>
      <c r="S43" s="53"/>
      <c r="T43" s="69">
        <v>2.77</v>
      </c>
      <c r="U43" s="76">
        <f t="shared" si="6"/>
        <v>13827.84</v>
      </c>
      <c r="V43" s="50">
        <v>3.95</v>
      </c>
      <c r="W43" s="80">
        <v>0.05</v>
      </c>
      <c r="X43" s="83">
        <f t="shared" si="5"/>
        <v>6.7700000000000005</v>
      </c>
      <c r="Y43" s="86">
        <f t="shared" si="10"/>
        <v>33795.840000000004</v>
      </c>
      <c r="Z43" s="65"/>
      <c r="AA43" s="50"/>
      <c r="AB43" s="50"/>
      <c r="AC43" s="50"/>
      <c r="AD43" s="50">
        <v>2204409082</v>
      </c>
      <c r="AE43" s="50">
        <v>3268956794</v>
      </c>
      <c r="AF43" s="50"/>
    </row>
    <row r="44" spans="1:32" s="54" customFormat="1" ht="11.45" customHeight="1" x14ac:dyDescent="0.2">
      <c r="A44" s="51" t="s">
        <v>358</v>
      </c>
      <c r="B44" s="50" t="s">
        <v>23</v>
      </c>
      <c r="C44" s="65" t="s">
        <v>222</v>
      </c>
      <c r="D44" s="51">
        <v>30</v>
      </c>
      <c r="E44" s="51">
        <v>200</v>
      </c>
      <c r="F44" s="51">
        <v>200</v>
      </c>
      <c r="G44" s="51">
        <v>0</v>
      </c>
      <c r="H44" s="51">
        <v>1</v>
      </c>
      <c r="I44" s="51">
        <v>1</v>
      </c>
      <c r="J44" s="51">
        <v>15</v>
      </c>
      <c r="K44" s="51">
        <v>41</v>
      </c>
      <c r="L44" s="51">
        <v>55</v>
      </c>
      <c r="M44" s="51">
        <f t="shared" si="4"/>
        <v>96</v>
      </c>
      <c r="N44" s="88">
        <f t="shared" si="7"/>
        <v>96</v>
      </c>
      <c r="O44" s="89">
        <f t="shared" si="8"/>
        <v>192</v>
      </c>
      <c r="P44" s="87">
        <f t="shared" si="9"/>
        <v>296</v>
      </c>
      <c r="Q44" s="52">
        <v>4992</v>
      </c>
      <c r="R44" s="52"/>
      <c r="S44" s="53"/>
      <c r="T44" s="69">
        <v>1.55</v>
      </c>
      <c r="U44" s="76">
        <f t="shared" ref="U44:U61" si="11">T44*Q44</f>
        <v>7737.6</v>
      </c>
      <c r="V44" s="50">
        <v>3.95</v>
      </c>
      <c r="W44" s="80">
        <v>0.05</v>
      </c>
      <c r="X44" s="83">
        <f t="shared" si="5"/>
        <v>5.55</v>
      </c>
      <c r="Y44" s="86">
        <f t="shared" si="10"/>
        <v>27705.599999999999</v>
      </c>
      <c r="Z44" s="65"/>
      <c r="AA44" s="50"/>
      <c r="AB44" s="50"/>
      <c r="AC44" s="50"/>
      <c r="AD44" s="50">
        <v>2204409082</v>
      </c>
      <c r="AE44" s="50">
        <v>3268957021</v>
      </c>
      <c r="AF44" s="50"/>
    </row>
    <row r="45" spans="1:32" s="54" customFormat="1" ht="11.45" customHeight="1" x14ac:dyDescent="0.2">
      <c r="A45" s="51" t="s">
        <v>359</v>
      </c>
      <c r="B45" s="50" t="s">
        <v>36</v>
      </c>
      <c r="C45" s="65" t="s">
        <v>222</v>
      </c>
      <c r="D45" s="51">
        <v>30</v>
      </c>
      <c r="E45" s="51">
        <v>200</v>
      </c>
      <c r="F45" s="51">
        <v>200</v>
      </c>
      <c r="G45" s="51">
        <v>0</v>
      </c>
      <c r="H45" s="51">
        <v>1</v>
      </c>
      <c r="I45" s="51">
        <v>1</v>
      </c>
      <c r="J45" s="51">
        <v>15</v>
      </c>
      <c r="K45" s="51">
        <v>41</v>
      </c>
      <c r="L45" s="51">
        <v>55</v>
      </c>
      <c r="M45" s="51">
        <f t="shared" si="4"/>
        <v>96</v>
      </c>
      <c r="N45" s="88">
        <f t="shared" si="7"/>
        <v>96</v>
      </c>
      <c r="O45" s="89">
        <f t="shared" si="8"/>
        <v>192</v>
      </c>
      <c r="P45" s="87">
        <f t="shared" si="9"/>
        <v>296</v>
      </c>
      <c r="Q45" s="52">
        <v>4992</v>
      </c>
      <c r="R45" s="52"/>
      <c r="S45" s="53"/>
      <c r="T45" s="69">
        <v>5</v>
      </c>
      <c r="U45" s="76">
        <f t="shared" si="11"/>
        <v>24960</v>
      </c>
      <c r="V45" s="50">
        <v>3.95</v>
      </c>
      <c r="W45" s="80">
        <v>0.05</v>
      </c>
      <c r="X45" s="83">
        <f t="shared" si="5"/>
        <v>9</v>
      </c>
      <c r="Y45" s="86">
        <f t="shared" si="10"/>
        <v>44928</v>
      </c>
      <c r="Z45" s="65"/>
      <c r="AA45" s="50"/>
      <c r="AB45" s="50"/>
      <c r="AC45" s="50"/>
      <c r="AD45" s="50">
        <v>2204409082</v>
      </c>
      <c r="AE45" s="50">
        <v>3268957217</v>
      </c>
      <c r="AF45" s="50"/>
    </row>
    <row r="46" spans="1:32" s="54" customFormat="1" ht="11.45" customHeight="1" x14ac:dyDescent="0.2">
      <c r="A46" s="51" t="s">
        <v>360</v>
      </c>
      <c r="B46" s="50" t="s">
        <v>38</v>
      </c>
      <c r="C46" s="65" t="s">
        <v>222</v>
      </c>
      <c r="D46" s="51">
        <v>30</v>
      </c>
      <c r="E46" s="51">
        <v>400</v>
      </c>
      <c r="F46" s="51">
        <v>500</v>
      </c>
      <c r="G46" s="51">
        <v>1</v>
      </c>
      <c r="H46" s="51">
        <v>2</v>
      </c>
      <c r="I46" s="51">
        <v>2</v>
      </c>
      <c r="J46" s="51">
        <v>15</v>
      </c>
      <c r="K46" s="51">
        <v>41</v>
      </c>
      <c r="L46" s="51">
        <v>55</v>
      </c>
      <c r="M46" s="51">
        <f t="shared" si="4"/>
        <v>207</v>
      </c>
      <c r="N46" s="88">
        <f t="shared" si="7"/>
        <v>207</v>
      </c>
      <c r="O46" s="89">
        <f t="shared" si="8"/>
        <v>414</v>
      </c>
      <c r="P46" s="87">
        <f t="shared" si="9"/>
        <v>607</v>
      </c>
      <c r="Q46" s="52">
        <v>4984</v>
      </c>
      <c r="R46" s="52"/>
      <c r="S46" s="53"/>
      <c r="T46" s="69">
        <v>2.64</v>
      </c>
      <c r="U46" s="76">
        <f t="shared" si="11"/>
        <v>13157.76</v>
      </c>
      <c r="V46" s="50">
        <v>3.95</v>
      </c>
      <c r="W46" s="80">
        <v>0.05</v>
      </c>
      <c r="X46" s="83">
        <f t="shared" si="5"/>
        <v>6.64</v>
      </c>
      <c r="Y46" s="86">
        <f t="shared" si="10"/>
        <v>33093.760000000002</v>
      </c>
      <c r="Z46" s="65"/>
      <c r="AA46" s="50"/>
      <c r="AB46" s="50"/>
      <c r="AC46" s="50"/>
      <c r="AD46" s="50">
        <v>2204409082</v>
      </c>
      <c r="AE46" s="50">
        <v>3268953852</v>
      </c>
      <c r="AF46" s="50"/>
    </row>
    <row r="47" spans="1:32" s="54" customFormat="1" ht="11.45" customHeight="1" x14ac:dyDescent="0.2">
      <c r="A47" s="51" t="s">
        <v>361</v>
      </c>
      <c r="B47" s="50" t="s">
        <v>39</v>
      </c>
      <c r="C47" s="65" t="s">
        <v>222</v>
      </c>
      <c r="D47" s="51">
        <v>30</v>
      </c>
      <c r="E47" s="51">
        <v>90</v>
      </c>
      <c r="F47" s="51">
        <v>90</v>
      </c>
      <c r="G47" s="51">
        <v>0</v>
      </c>
      <c r="H47" s="51">
        <v>1</v>
      </c>
      <c r="I47" s="51">
        <v>0</v>
      </c>
      <c r="J47" s="51">
        <v>15</v>
      </c>
      <c r="K47" s="51">
        <v>41</v>
      </c>
      <c r="L47" s="51">
        <v>55</v>
      </c>
      <c r="M47" s="51">
        <f t="shared" si="4"/>
        <v>41</v>
      </c>
      <c r="N47" s="88">
        <f t="shared" si="7"/>
        <v>41</v>
      </c>
      <c r="O47" s="89">
        <f t="shared" si="8"/>
        <v>82</v>
      </c>
      <c r="P47" s="87">
        <f t="shared" si="9"/>
        <v>131</v>
      </c>
      <c r="Q47" s="52">
        <v>5000</v>
      </c>
      <c r="R47" s="52"/>
      <c r="S47" s="53"/>
      <c r="T47" s="69">
        <v>1.04</v>
      </c>
      <c r="U47" s="76">
        <f t="shared" si="11"/>
        <v>5200</v>
      </c>
      <c r="V47" s="50">
        <v>3.95</v>
      </c>
      <c r="W47" s="80">
        <v>0.05</v>
      </c>
      <c r="X47" s="83">
        <f t="shared" si="5"/>
        <v>5.04</v>
      </c>
      <c r="Y47" s="86">
        <f t="shared" si="10"/>
        <v>25200</v>
      </c>
      <c r="Z47" s="65"/>
      <c r="AA47" s="50"/>
      <c r="AB47" s="50"/>
      <c r="AC47" s="50"/>
      <c r="AD47" s="50">
        <v>2204409082</v>
      </c>
      <c r="AE47" s="50">
        <v>3268936884</v>
      </c>
      <c r="AF47" s="50"/>
    </row>
    <row r="48" spans="1:32" s="54" customFormat="1" ht="11.45" customHeight="1" x14ac:dyDescent="0.2">
      <c r="A48" s="51" t="s">
        <v>362</v>
      </c>
      <c r="B48" s="50" t="s">
        <v>13</v>
      </c>
      <c r="C48" s="65" t="s">
        <v>222</v>
      </c>
      <c r="D48" s="51">
        <v>30</v>
      </c>
      <c r="E48" s="51">
        <v>800</v>
      </c>
      <c r="F48" s="51">
        <v>1200</v>
      </c>
      <c r="G48" s="51">
        <v>4</v>
      </c>
      <c r="H48" s="51">
        <v>4</v>
      </c>
      <c r="I48" s="51">
        <v>4</v>
      </c>
      <c r="J48" s="51">
        <v>15</v>
      </c>
      <c r="K48" s="51">
        <v>41</v>
      </c>
      <c r="L48" s="51">
        <v>55</v>
      </c>
      <c r="M48" s="51">
        <f t="shared" si="4"/>
        <v>444</v>
      </c>
      <c r="N48" s="88">
        <f t="shared" si="7"/>
        <v>444</v>
      </c>
      <c r="O48" s="89">
        <f t="shared" si="8"/>
        <v>888</v>
      </c>
      <c r="P48" s="87">
        <f t="shared" si="9"/>
        <v>1244</v>
      </c>
      <c r="Q48" s="52">
        <v>4968</v>
      </c>
      <c r="R48" s="52"/>
      <c r="S48" s="53"/>
      <c r="T48" s="69">
        <v>3.62</v>
      </c>
      <c r="U48" s="76">
        <f t="shared" si="11"/>
        <v>17984.16</v>
      </c>
      <c r="V48" s="50">
        <v>3.95</v>
      </c>
      <c r="W48" s="80">
        <v>0.05</v>
      </c>
      <c r="X48" s="83">
        <f t="shared" si="5"/>
        <v>7.62</v>
      </c>
      <c r="Y48" s="86">
        <f t="shared" si="10"/>
        <v>37856.160000000003</v>
      </c>
      <c r="Z48" s="65"/>
      <c r="AA48" s="50"/>
      <c r="AB48" s="50"/>
      <c r="AC48" s="50"/>
      <c r="AD48" s="50">
        <v>2204409082</v>
      </c>
      <c r="AE48" s="50">
        <v>3268859330</v>
      </c>
      <c r="AF48" s="50"/>
    </row>
    <row r="49" spans="1:32" s="54" customFormat="1" ht="11.45" customHeight="1" x14ac:dyDescent="0.2">
      <c r="A49" s="51" t="s">
        <v>363</v>
      </c>
      <c r="B49" s="50" t="s">
        <v>1192</v>
      </c>
      <c r="C49" s="65" t="s">
        <v>222</v>
      </c>
      <c r="D49" s="51">
        <v>30</v>
      </c>
      <c r="E49" s="51">
        <v>90</v>
      </c>
      <c r="F49" s="51">
        <v>90</v>
      </c>
      <c r="G49" s="51">
        <v>0</v>
      </c>
      <c r="H49" s="51">
        <v>1</v>
      </c>
      <c r="I49" s="51">
        <v>0</v>
      </c>
      <c r="J49" s="51">
        <v>15</v>
      </c>
      <c r="K49" s="51">
        <v>41</v>
      </c>
      <c r="L49" s="51">
        <v>55</v>
      </c>
      <c r="M49" s="51">
        <f t="shared" si="4"/>
        <v>41</v>
      </c>
      <c r="N49" s="88">
        <f t="shared" si="7"/>
        <v>41</v>
      </c>
      <c r="O49" s="89">
        <f t="shared" si="8"/>
        <v>82</v>
      </c>
      <c r="P49" s="87">
        <f t="shared" si="9"/>
        <v>131</v>
      </c>
      <c r="Q49" s="52">
        <v>5000</v>
      </c>
      <c r="R49" s="52"/>
      <c r="S49" s="53"/>
      <c r="T49" s="69">
        <v>1.95</v>
      </c>
      <c r="U49" s="76">
        <f t="shared" si="11"/>
        <v>9750</v>
      </c>
      <c r="V49" s="50">
        <v>3.95</v>
      </c>
      <c r="W49" s="80">
        <v>0.05</v>
      </c>
      <c r="X49" s="83">
        <f t="shared" si="5"/>
        <v>5.95</v>
      </c>
      <c r="Y49" s="86">
        <f t="shared" si="10"/>
        <v>29750</v>
      </c>
      <c r="Z49" s="65"/>
      <c r="AA49" s="50"/>
      <c r="AB49" s="50"/>
      <c r="AC49" s="50"/>
      <c r="AD49" s="50">
        <v>2204409082</v>
      </c>
      <c r="AE49" s="50">
        <v>3268938307</v>
      </c>
      <c r="AF49" s="50"/>
    </row>
    <row r="50" spans="1:32" s="54" customFormat="1" ht="11.45" customHeight="1" x14ac:dyDescent="0.2">
      <c r="A50" s="51" t="s">
        <v>364</v>
      </c>
      <c r="B50" s="50" t="s">
        <v>46</v>
      </c>
      <c r="C50" s="65" t="s">
        <v>222</v>
      </c>
      <c r="D50" s="51">
        <v>30</v>
      </c>
      <c r="E50" s="51">
        <v>90</v>
      </c>
      <c r="F50" s="51">
        <v>90</v>
      </c>
      <c r="G50" s="51">
        <v>0</v>
      </c>
      <c r="H50" s="51">
        <v>1</v>
      </c>
      <c r="I50" s="51">
        <v>0</v>
      </c>
      <c r="J50" s="51">
        <v>15</v>
      </c>
      <c r="K50" s="51">
        <v>41</v>
      </c>
      <c r="L50" s="51">
        <v>55</v>
      </c>
      <c r="M50" s="51">
        <f t="shared" si="4"/>
        <v>41</v>
      </c>
      <c r="N50" s="88">
        <f t="shared" si="7"/>
        <v>41</v>
      </c>
      <c r="O50" s="89">
        <f t="shared" si="8"/>
        <v>82</v>
      </c>
      <c r="P50" s="87">
        <f t="shared" si="9"/>
        <v>131</v>
      </c>
      <c r="Q50" s="52">
        <v>5000</v>
      </c>
      <c r="R50" s="52"/>
      <c r="S50" s="53"/>
      <c r="T50" s="69">
        <v>15.7</v>
      </c>
      <c r="U50" s="76">
        <f t="shared" si="11"/>
        <v>78500</v>
      </c>
      <c r="V50" s="50">
        <v>3.95</v>
      </c>
      <c r="W50" s="80">
        <v>0.05</v>
      </c>
      <c r="X50" s="83">
        <f t="shared" si="5"/>
        <v>19.7</v>
      </c>
      <c r="Y50" s="86">
        <f t="shared" si="10"/>
        <v>98500</v>
      </c>
      <c r="Z50" s="65"/>
      <c r="AA50" s="50"/>
      <c r="AB50" s="50"/>
      <c r="AC50" s="50"/>
      <c r="AD50" s="50">
        <v>2204409082</v>
      </c>
      <c r="AE50" s="50"/>
      <c r="AF50" s="50"/>
    </row>
    <row r="51" spans="1:32" s="55" customFormat="1" ht="11.45" customHeight="1" x14ac:dyDescent="0.2">
      <c r="A51" s="51" t="s">
        <v>365</v>
      </c>
      <c r="B51" s="50" t="s">
        <v>1193</v>
      </c>
      <c r="C51" s="65" t="s">
        <v>222</v>
      </c>
      <c r="D51" s="51">
        <v>30</v>
      </c>
      <c r="E51" s="51">
        <v>90</v>
      </c>
      <c r="F51" s="51">
        <v>90</v>
      </c>
      <c r="G51" s="51">
        <v>0</v>
      </c>
      <c r="H51" s="51">
        <v>1</v>
      </c>
      <c r="I51" s="51">
        <v>0</v>
      </c>
      <c r="J51" s="51">
        <v>15</v>
      </c>
      <c r="K51" s="51">
        <v>41</v>
      </c>
      <c r="L51" s="51">
        <v>55</v>
      </c>
      <c r="M51" s="51">
        <f t="shared" si="4"/>
        <v>41</v>
      </c>
      <c r="N51" s="88">
        <f t="shared" si="7"/>
        <v>41</v>
      </c>
      <c r="O51" s="89">
        <f t="shared" si="8"/>
        <v>82</v>
      </c>
      <c r="P51" s="87">
        <f t="shared" si="9"/>
        <v>131</v>
      </c>
      <c r="Q51" s="52">
        <v>5000</v>
      </c>
      <c r="R51" s="52"/>
      <c r="S51" s="53"/>
      <c r="T51" s="69">
        <v>8.5</v>
      </c>
      <c r="U51" s="76">
        <f t="shared" si="11"/>
        <v>42500</v>
      </c>
      <c r="V51" s="50">
        <v>3.95</v>
      </c>
      <c r="W51" s="80">
        <v>0.05</v>
      </c>
      <c r="X51" s="83">
        <f t="shared" si="5"/>
        <v>12.5</v>
      </c>
      <c r="Y51" s="86">
        <f t="shared" si="10"/>
        <v>62500</v>
      </c>
      <c r="Z51" s="65"/>
      <c r="AA51" s="50"/>
      <c r="AB51" s="50"/>
      <c r="AC51" s="50"/>
      <c r="AD51" s="50">
        <v>2204409082</v>
      </c>
      <c r="AE51" s="50">
        <v>3268938595</v>
      </c>
      <c r="AF51" s="50"/>
    </row>
    <row r="52" spans="1:32" s="55" customFormat="1" ht="11.45" customHeight="1" x14ac:dyDescent="0.2">
      <c r="A52" s="51" t="s">
        <v>366</v>
      </c>
      <c r="B52" s="66" t="s">
        <v>207</v>
      </c>
      <c r="C52" s="65" t="s">
        <v>222</v>
      </c>
      <c r="D52" s="51">
        <v>30</v>
      </c>
      <c r="E52" s="51">
        <v>110</v>
      </c>
      <c r="F52" s="51">
        <v>110</v>
      </c>
      <c r="G52" s="51">
        <v>0</v>
      </c>
      <c r="H52" s="51">
        <v>0</v>
      </c>
      <c r="I52" s="51">
        <v>1</v>
      </c>
      <c r="J52" s="51">
        <v>15</v>
      </c>
      <c r="K52" s="51">
        <v>41</v>
      </c>
      <c r="L52" s="51">
        <v>55</v>
      </c>
      <c r="M52" s="51">
        <f t="shared" si="4"/>
        <v>55</v>
      </c>
      <c r="N52" s="88">
        <f t="shared" si="7"/>
        <v>55</v>
      </c>
      <c r="O52" s="89">
        <f t="shared" si="8"/>
        <v>110</v>
      </c>
      <c r="P52" s="87">
        <f t="shared" si="9"/>
        <v>165</v>
      </c>
      <c r="Q52" s="52">
        <v>4992</v>
      </c>
      <c r="R52" s="52"/>
      <c r="S52" s="53"/>
      <c r="T52" s="69">
        <v>8.65</v>
      </c>
      <c r="U52" s="76">
        <f t="shared" si="11"/>
        <v>43180.800000000003</v>
      </c>
      <c r="V52" s="50">
        <v>3.95</v>
      </c>
      <c r="W52" s="80">
        <v>0.05</v>
      </c>
      <c r="X52" s="83">
        <f t="shared" si="5"/>
        <v>12.650000000000002</v>
      </c>
      <c r="Y52" s="86">
        <f t="shared" si="10"/>
        <v>63148.80000000001</v>
      </c>
      <c r="Z52" s="65"/>
      <c r="AA52" s="50"/>
      <c r="AB52" s="50"/>
      <c r="AC52" s="50"/>
      <c r="AD52" s="50">
        <v>2204409082</v>
      </c>
      <c r="AE52" s="50">
        <v>3269750277</v>
      </c>
      <c r="AF52" s="50"/>
    </row>
    <row r="53" spans="1:32" s="55" customFormat="1" ht="11.45" customHeight="1" x14ac:dyDescent="0.2">
      <c r="A53" s="51" t="s">
        <v>367</v>
      </c>
      <c r="B53" s="50" t="s">
        <v>703</v>
      </c>
      <c r="C53" s="65" t="s">
        <v>222</v>
      </c>
      <c r="D53" s="51">
        <v>30</v>
      </c>
      <c r="E53" s="51">
        <v>40</v>
      </c>
      <c r="F53" s="51">
        <v>40</v>
      </c>
      <c r="G53" s="51">
        <v>1</v>
      </c>
      <c r="H53" s="51">
        <v>0</v>
      </c>
      <c r="I53" s="51">
        <v>0</v>
      </c>
      <c r="J53" s="51">
        <v>15</v>
      </c>
      <c r="K53" s="51">
        <v>41</v>
      </c>
      <c r="L53" s="51">
        <v>55</v>
      </c>
      <c r="M53" s="51">
        <f t="shared" si="4"/>
        <v>15</v>
      </c>
      <c r="N53" s="88">
        <f t="shared" si="7"/>
        <v>15</v>
      </c>
      <c r="O53" s="89">
        <f t="shared" si="8"/>
        <v>30</v>
      </c>
      <c r="P53" s="87">
        <f t="shared" si="9"/>
        <v>55</v>
      </c>
      <c r="Q53" s="52">
        <v>5000</v>
      </c>
      <c r="R53" s="52"/>
      <c r="S53" s="53"/>
      <c r="T53" s="69">
        <v>16.149999999999999</v>
      </c>
      <c r="U53" s="76">
        <f t="shared" si="11"/>
        <v>80750</v>
      </c>
      <c r="V53" s="50">
        <v>3.95</v>
      </c>
      <c r="W53" s="80">
        <v>0.05</v>
      </c>
      <c r="X53" s="83">
        <f t="shared" si="5"/>
        <v>20.149999999999999</v>
      </c>
      <c r="Y53" s="86">
        <f t="shared" si="10"/>
        <v>100750</v>
      </c>
      <c r="Z53" s="65"/>
      <c r="AA53" s="50"/>
      <c r="AB53" s="50"/>
      <c r="AC53" s="50"/>
      <c r="AD53" s="50">
        <v>2204409082</v>
      </c>
      <c r="AE53" s="50">
        <v>4165269993</v>
      </c>
      <c r="AF53" s="50"/>
    </row>
    <row r="54" spans="1:32" s="55" customFormat="1" ht="11.45" customHeight="1" x14ac:dyDescent="0.2">
      <c r="A54" s="51" t="s">
        <v>368</v>
      </c>
      <c r="B54" s="50" t="s">
        <v>246</v>
      </c>
      <c r="C54" s="65" t="s">
        <v>222</v>
      </c>
      <c r="D54" s="51">
        <v>30</v>
      </c>
      <c r="E54" s="51">
        <v>40</v>
      </c>
      <c r="F54" s="51">
        <v>40</v>
      </c>
      <c r="G54" s="51">
        <v>1</v>
      </c>
      <c r="H54" s="51">
        <v>0</v>
      </c>
      <c r="I54" s="51">
        <v>0</v>
      </c>
      <c r="J54" s="51">
        <v>15</v>
      </c>
      <c r="K54" s="51">
        <v>41</v>
      </c>
      <c r="L54" s="51">
        <v>55</v>
      </c>
      <c r="M54" s="51">
        <f t="shared" si="4"/>
        <v>15</v>
      </c>
      <c r="N54" s="88">
        <f t="shared" si="7"/>
        <v>15</v>
      </c>
      <c r="O54" s="89">
        <f t="shared" si="8"/>
        <v>30</v>
      </c>
      <c r="P54" s="87">
        <f t="shared" si="9"/>
        <v>55</v>
      </c>
      <c r="Q54" s="52">
        <v>5000</v>
      </c>
      <c r="R54" s="52"/>
      <c r="S54" s="53"/>
      <c r="T54" s="69">
        <v>7.36</v>
      </c>
      <c r="U54" s="76">
        <f t="shared" si="11"/>
        <v>36800</v>
      </c>
      <c r="V54" s="50">
        <v>3.95</v>
      </c>
      <c r="W54" s="80">
        <v>0.05</v>
      </c>
      <c r="X54" s="83">
        <f t="shared" si="5"/>
        <v>11.360000000000001</v>
      </c>
      <c r="Y54" s="86">
        <f t="shared" si="10"/>
        <v>56800.000000000007</v>
      </c>
      <c r="Z54" s="65"/>
      <c r="AA54" s="50"/>
      <c r="AB54" s="50"/>
      <c r="AC54" s="50"/>
      <c r="AD54" s="50">
        <v>2204409082</v>
      </c>
      <c r="AE54" s="50"/>
      <c r="AF54" s="50"/>
    </row>
    <row r="55" spans="1:32" s="55" customFormat="1" ht="11.45" customHeight="1" x14ac:dyDescent="0.2">
      <c r="A55" s="51" t="s">
        <v>369</v>
      </c>
      <c r="B55" s="50" t="s">
        <v>55</v>
      </c>
      <c r="C55" s="65" t="s">
        <v>222</v>
      </c>
      <c r="D55" s="51">
        <v>30</v>
      </c>
      <c r="E55" s="51">
        <v>40</v>
      </c>
      <c r="F55" s="51">
        <v>40</v>
      </c>
      <c r="G55" s="51">
        <v>1</v>
      </c>
      <c r="H55" s="51">
        <v>0</v>
      </c>
      <c r="I55" s="51">
        <v>0</v>
      </c>
      <c r="J55" s="51">
        <v>15</v>
      </c>
      <c r="K55" s="51">
        <v>41</v>
      </c>
      <c r="L55" s="51">
        <v>55</v>
      </c>
      <c r="M55" s="51">
        <f t="shared" si="4"/>
        <v>15</v>
      </c>
      <c r="N55" s="88">
        <f t="shared" si="7"/>
        <v>15</v>
      </c>
      <c r="O55" s="89">
        <f t="shared" si="8"/>
        <v>30</v>
      </c>
      <c r="P55" s="87">
        <f t="shared" si="9"/>
        <v>55</v>
      </c>
      <c r="Q55" s="52">
        <v>5000</v>
      </c>
      <c r="R55" s="52"/>
      <c r="S55" s="53"/>
      <c r="T55" s="69">
        <v>17.12</v>
      </c>
      <c r="U55" s="76">
        <f t="shared" si="11"/>
        <v>85600</v>
      </c>
      <c r="V55" s="50">
        <v>3.95</v>
      </c>
      <c r="W55" s="80">
        <v>0.05</v>
      </c>
      <c r="X55" s="83">
        <f t="shared" si="5"/>
        <v>21.12</v>
      </c>
      <c r="Y55" s="86">
        <f t="shared" si="10"/>
        <v>105600</v>
      </c>
      <c r="Z55" s="65"/>
      <c r="AA55" s="50"/>
      <c r="AB55" s="50"/>
      <c r="AC55" s="50"/>
      <c r="AD55" s="50">
        <v>2204409082</v>
      </c>
      <c r="AE55" s="50"/>
      <c r="AF55" s="50"/>
    </row>
    <row r="56" spans="1:32" s="55" customFormat="1" ht="11.45" customHeight="1" x14ac:dyDescent="0.2">
      <c r="A56" s="51" t="s">
        <v>370</v>
      </c>
      <c r="B56" s="50" t="s">
        <v>28</v>
      </c>
      <c r="C56" s="65" t="s">
        <v>222</v>
      </c>
      <c r="D56" s="51">
        <v>30</v>
      </c>
      <c r="E56" s="51">
        <v>40</v>
      </c>
      <c r="F56" s="51">
        <v>40</v>
      </c>
      <c r="G56" s="51">
        <v>1</v>
      </c>
      <c r="H56" s="51">
        <v>0</v>
      </c>
      <c r="I56" s="51">
        <v>0</v>
      </c>
      <c r="J56" s="51">
        <v>15</v>
      </c>
      <c r="K56" s="51">
        <v>41</v>
      </c>
      <c r="L56" s="51">
        <v>55</v>
      </c>
      <c r="M56" s="51">
        <f t="shared" si="4"/>
        <v>15</v>
      </c>
      <c r="N56" s="88">
        <f t="shared" si="7"/>
        <v>15</v>
      </c>
      <c r="O56" s="89">
        <f t="shared" si="8"/>
        <v>30</v>
      </c>
      <c r="P56" s="87">
        <f t="shared" si="9"/>
        <v>55</v>
      </c>
      <c r="Q56" s="52">
        <v>5000</v>
      </c>
      <c r="R56" s="52"/>
      <c r="S56" s="53"/>
      <c r="T56" s="69">
        <v>15.98</v>
      </c>
      <c r="U56" s="76">
        <f t="shared" si="11"/>
        <v>79900</v>
      </c>
      <c r="V56" s="50"/>
      <c r="W56" s="80">
        <v>0.05</v>
      </c>
      <c r="X56" s="83">
        <f t="shared" si="5"/>
        <v>16.03</v>
      </c>
      <c r="Y56" s="86">
        <f t="shared" si="10"/>
        <v>80150</v>
      </c>
      <c r="Z56" s="65"/>
      <c r="AA56" s="50"/>
      <c r="AB56" s="50"/>
      <c r="AC56" s="50"/>
      <c r="AD56" s="50">
        <v>2204409082</v>
      </c>
      <c r="AE56" s="50"/>
      <c r="AF56" s="50"/>
    </row>
    <row r="57" spans="1:32" s="55" customFormat="1" ht="11.45" customHeight="1" x14ac:dyDescent="0.2">
      <c r="A57" s="51" t="s">
        <v>371</v>
      </c>
      <c r="B57" s="50" t="s">
        <v>3</v>
      </c>
      <c r="C57" s="65" t="s">
        <v>222</v>
      </c>
      <c r="D57" s="51">
        <v>30</v>
      </c>
      <c r="E57" s="51">
        <v>40</v>
      </c>
      <c r="F57" s="51">
        <v>40</v>
      </c>
      <c r="G57" s="51">
        <v>2</v>
      </c>
      <c r="H57" s="51">
        <v>0</v>
      </c>
      <c r="I57" s="51">
        <v>0</v>
      </c>
      <c r="J57" s="51">
        <v>15</v>
      </c>
      <c r="K57" s="51">
        <v>41</v>
      </c>
      <c r="L57" s="51">
        <v>55</v>
      </c>
      <c r="M57" s="51">
        <f t="shared" si="4"/>
        <v>30</v>
      </c>
      <c r="N57" s="88">
        <f t="shared" si="7"/>
        <v>30</v>
      </c>
      <c r="O57" s="89">
        <f t="shared" si="8"/>
        <v>60</v>
      </c>
      <c r="P57" s="87">
        <f t="shared" si="9"/>
        <v>70</v>
      </c>
      <c r="Q57" s="52">
        <v>5000</v>
      </c>
      <c r="R57" s="52"/>
      <c r="S57" s="53"/>
      <c r="T57" s="69">
        <v>4.91</v>
      </c>
      <c r="U57" s="76">
        <f t="shared" si="11"/>
        <v>24550</v>
      </c>
      <c r="V57" s="50">
        <v>3.95</v>
      </c>
      <c r="W57" s="80">
        <v>0.05</v>
      </c>
      <c r="X57" s="83">
        <f t="shared" si="5"/>
        <v>8.91</v>
      </c>
      <c r="Y57" s="86">
        <f t="shared" si="10"/>
        <v>44550</v>
      </c>
      <c r="Z57" s="65"/>
      <c r="AA57" s="50"/>
      <c r="AB57" s="50"/>
      <c r="AC57" s="50"/>
      <c r="AD57" s="50">
        <v>2204409082</v>
      </c>
      <c r="AE57" s="50"/>
      <c r="AF57" s="50"/>
    </row>
    <row r="58" spans="1:32" s="55" customFormat="1" ht="11.45" customHeight="1" x14ac:dyDescent="0.2">
      <c r="A58" s="51" t="s">
        <v>372</v>
      </c>
      <c r="B58" s="50" t="s">
        <v>4</v>
      </c>
      <c r="C58" s="65" t="s">
        <v>222</v>
      </c>
      <c r="D58" s="51">
        <v>30</v>
      </c>
      <c r="E58" s="51">
        <v>40</v>
      </c>
      <c r="F58" s="51">
        <v>40</v>
      </c>
      <c r="G58" s="51">
        <v>1</v>
      </c>
      <c r="H58" s="51">
        <v>0</v>
      </c>
      <c r="I58" s="51">
        <v>0</v>
      </c>
      <c r="J58" s="51">
        <v>15</v>
      </c>
      <c r="K58" s="51">
        <v>41</v>
      </c>
      <c r="L58" s="51">
        <v>55</v>
      </c>
      <c r="M58" s="51">
        <f t="shared" si="4"/>
        <v>15</v>
      </c>
      <c r="N58" s="88">
        <f t="shared" si="7"/>
        <v>15</v>
      </c>
      <c r="O58" s="89">
        <f t="shared" si="8"/>
        <v>30</v>
      </c>
      <c r="P58" s="87">
        <f t="shared" si="9"/>
        <v>55</v>
      </c>
      <c r="Q58" s="52">
        <v>5000</v>
      </c>
      <c r="R58" s="52"/>
      <c r="S58" s="53"/>
      <c r="T58" s="69">
        <v>4.07</v>
      </c>
      <c r="U58" s="76">
        <f t="shared" si="11"/>
        <v>20350</v>
      </c>
      <c r="V58" s="50">
        <v>3.95</v>
      </c>
      <c r="W58" s="80">
        <v>0.05</v>
      </c>
      <c r="X58" s="83">
        <f t="shared" si="5"/>
        <v>8.07</v>
      </c>
      <c r="Y58" s="86">
        <f t="shared" si="10"/>
        <v>40350</v>
      </c>
      <c r="Z58" s="65"/>
      <c r="AA58" s="50"/>
      <c r="AB58" s="50"/>
      <c r="AC58" s="50"/>
      <c r="AD58" s="50">
        <v>2204409082</v>
      </c>
      <c r="AE58" s="50"/>
      <c r="AF58" s="50"/>
    </row>
    <row r="59" spans="1:32" s="55" customFormat="1" ht="11.45" customHeight="1" x14ac:dyDescent="0.2">
      <c r="A59" s="51" t="s">
        <v>373</v>
      </c>
      <c r="B59" s="66" t="s">
        <v>311</v>
      </c>
      <c r="C59" s="65" t="s">
        <v>222</v>
      </c>
      <c r="D59" s="51">
        <v>30</v>
      </c>
      <c r="E59" s="51">
        <v>40</v>
      </c>
      <c r="F59" s="51">
        <v>40</v>
      </c>
      <c r="G59" s="51">
        <v>1</v>
      </c>
      <c r="H59" s="51">
        <v>0</v>
      </c>
      <c r="I59" s="51">
        <v>0</v>
      </c>
      <c r="J59" s="51">
        <v>15</v>
      </c>
      <c r="K59" s="51">
        <v>41</v>
      </c>
      <c r="L59" s="51">
        <v>55</v>
      </c>
      <c r="M59" s="51">
        <f t="shared" si="4"/>
        <v>15</v>
      </c>
      <c r="N59" s="88">
        <f t="shared" si="7"/>
        <v>15</v>
      </c>
      <c r="O59" s="89">
        <f t="shared" si="8"/>
        <v>30</v>
      </c>
      <c r="P59" s="87">
        <f t="shared" si="9"/>
        <v>55</v>
      </c>
      <c r="Q59" s="52">
        <v>5000</v>
      </c>
      <c r="R59" s="52"/>
      <c r="S59" s="53"/>
      <c r="T59" s="69">
        <v>8.9</v>
      </c>
      <c r="U59" s="76">
        <f t="shared" si="11"/>
        <v>44500</v>
      </c>
      <c r="V59" s="50">
        <v>3.95</v>
      </c>
      <c r="W59" s="80">
        <v>0.05</v>
      </c>
      <c r="X59" s="83">
        <f t="shared" si="5"/>
        <v>12.900000000000002</v>
      </c>
      <c r="Y59" s="86">
        <f t="shared" si="10"/>
        <v>64500.000000000007</v>
      </c>
      <c r="Z59" s="65"/>
      <c r="AA59" s="50"/>
      <c r="AB59" s="50"/>
      <c r="AC59" s="50"/>
      <c r="AD59" s="50">
        <v>2204409082</v>
      </c>
      <c r="AE59" s="50"/>
      <c r="AF59" s="50"/>
    </row>
    <row r="60" spans="1:32" s="55" customFormat="1" ht="11.45" customHeight="1" x14ac:dyDescent="0.2">
      <c r="A60" s="51" t="s">
        <v>374</v>
      </c>
      <c r="B60" s="50" t="s">
        <v>72</v>
      </c>
      <c r="C60" s="65" t="s">
        <v>222</v>
      </c>
      <c r="D60" s="51">
        <v>30</v>
      </c>
      <c r="E60" s="51">
        <v>40</v>
      </c>
      <c r="F60" s="51">
        <v>40</v>
      </c>
      <c r="G60" s="51">
        <v>1</v>
      </c>
      <c r="H60" s="51">
        <v>0</v>
      </c>
      <c r="I60" s="51">
        <v>0</v>
      </c>
      <c r="J60" s="51">
        <v>15</v>
      </c>
      <c r="K60" s="51">
        <v>41</v>
      </c>
      <c r="L60" s="51">
        <v>55</v>
      </c>
      <c r="M60" s="51">
        <f t="shared" si="4"/>
        <v>15</v>
      </c>
      <c r="N60" s="88">
        <f t="shared" si="7"/>
        <v>15</v>
      </c>
      <c r="O60" s="89">
        <f t="shared" si="8"/>
        <v>30</v>
      </c>
      <c r="P60" s="87">
        <f t="shared" si="9"/>
        <v>55</v>
      </c>
      <c r="Q60" s="52">
        <v>5000</v>
      </c>
      <c r="R60" s="52"/>
      <c r="S60" s="53"/>
      <c r="T60" s="69">
        <v>1.01</v>
      </c>
      <c r="U60" s="76">
        <f t="shared" si="11"/>
        <v>5050</v>
      </c>
      <c r="V60" s="50">
        <v>3.95</v>
      </c>
      <c r="W60" s="80">
        <v>0.05</v>
      </c>
      <c r="X60" s="83">
        <f t="shared" si="5"/>
        <v>5.01</v>
      </c>
      <c r="Y60" s="86">
        <f t="shared" si="10"/>
        <v>25050</v>
      </c>
      <c r="Z60" s="65"/>
      <c r="AA60" s="50"/>
      <c r="AB60" s="50"/>
      <c r="AC60" s="50"/>
      <c r="AD60" s="50">
        <v>2204409082</v>
      </c>
      <c r="AE60" s="50"/>
      <c r="AF60" s="50"/>
    </row>
    <row r="61" spans="1:32" s="55" customFormat="1" ht="11.45" customHeight="1" x14ac:dyDescent="0.2">
      <c r="A61" s="51" t="s">
        <v>375</v>
      </c>
      <c r="B61" s="50" t="s">
        <v>73</v>
      </c>
      <c r="C61" s="65" t="s">
        <v>222</v>
      </c>
      <c r="D61" s="51">
        <v>30</v>
      </c>
      <c r="E61" s="51">
        <v>40</v>
      </c>
      <c r="F61" s="51">
        <v>40</v>
      </c>
      <c r="G61" s="51">
        <v>1</v>
      </c>
      <c r="H61" s="51">
        <v>0</v>
      </c>
      <c r="I61" s="51">
        <v>0</v>
      </c>
      <c r="J61" s="51">
        <v>15</v>
      </c>
      <c r="K61" s="51">
        <v>41</v>
      </c>
      <c r="L61" s="51">
        <v>55</v>
      </c>
      <c r="M61" s="51">
        <f t="shared" si="4"/>
        <v>15</v>
      </c>
      <c r="N61" s="88">
        <f t="shared" si="7"/>
        <v>15</v>
      </c>
      <c r="O61" s="89">
        <f t="shared" si="8"/>
        <v>30</v>
      </c>
      <c r="P61" s="87">
        <f t="shared" si="9"/>
        <v>55</v>
      </c>
      <c r="Q61" s="52">
        <v>5000</v>
      </c>
      <c r="R61" s="52"/>
      <c r="S61" s="53"/>
      <c r="T61" s="69">
        <v>4.92</v>
      </c>
      <c r="U61" s="76">
        <f t="shared" si="11"/>
        <v>24600</v>
      </c>
      <c r="V61" s="50">
        <v>3.95</v>
      </c>
      <c r="W61" s="80">
        <v>0.05</v>
      </c>
      <c r="X61" s="83">
        <f t="shared" si="5"/>
        <v>8.9200000000000017</v>
      </c>
      <c r="Y61" s="86">
        <f t="shared" si="10"/>
        <v>44600.000000000007</v>
      </c>
      <c r="Z61" s="65"/>
      <c r="AA61" s="50"/>
      <c r="AB61" s="50"/>
      <c r="AC61" s="50"/>
      <c r="AD61" s="50">
        <v>2204409082</v>
      </c>
      <c r="AE61" s="50"/>
      <c r="AF61" s="50"/>
    </row>
    <row r="62" spans="1:32" s="55" customFormat="1" ht="11.45" customHeight="1" x14ac:dyDescent="0.2">
      <c r="A62" s="51" t="s">
        <v>376</v>
      </c>
      <c r="B62" s="50" t="s">
        <v>249</v>
      </c>
      <c r="C62" s="65" t="s">
        <v>222</v>
      </c>
      <c r="D62" s="51">
        <v>30</v>
      </c>
      <c r="E62" s="51">
        <v>100</v>
      </c>
      <c r="F62" s="51">
        <v>100</v>
      </c>
      <c r="G62" s="51">
        <v>0</v>
      </c>
      <c r="H62" s="51">
        <v>0</v>
      </c>
      <c r="I62" s="51">
        <v>1</v>
      </c>
      <c r="J62" s="51">
        <v>15</v>
      </c>
      <c r="K62" s="51">
        <v>41</v>
      </c>
      <c r="L62" s="51">
        <v>55</v>
      </c>
      <c r="M62" s="51">
        <v>55</v>
      </c>
      <c r="N62" s="88">
        <v>165</v>
      </c>
      <c r="O62" s="89">
        <v>330</v>
      </c>
      <c r="P62" s="87">
        <v>265</v>
      </c>
      <c r="Q62" s="52">
        <v>4992</v>
      </c>
      <c r="R62" s="52"/>
      <c r="S62" s="53"/>
      <c r="T62" s="69">
        <v>15.7</v>
      </c>
      <c r="U62" s="76">
        <f>X62*Q62</f>
        <v>98342.399999999994</v>
      </c>
      <c r="V62" s="50">
        <v>3.95</v>
      </c>
      <c r="W62" s="80">
        <v>0.05</v>
      </c>
      <c r="X62" s="83">
        <f t="shared" si="5"/>
        <v>19.7</v>
      </c>
      <c r="Y62" s="86">
        <f t="shared" si="10"/>
        <v>98342.399999999994</v>
      </c>
      <c r="Z62" s="65"/>
      <c r="AA62" s="50"/>
      <c r="AB62" s="50"/>
      <c r="AC62" s="50"/>
      <c r="AD62" s="50">
        <v>2204409082</v>
      </c>
      <c r="AE62" s="50"/>
      <c r="AF62" s="50"/>
    </row>
    <row r="63" spans="1:32" s="54" customFormat="1" ht="11.45" customHeight="1" x14ac:dyDescent="0.2">
      <c r="A63" s="51" t="s">
        <v>377</v>
      </c>
      <c r="B63" s="50" t="s">
        <v>198</v>
      </c>
      <c r="C63" s="65" t="s">
        <v>222</v>
      </c>
      <c r="D63" s="51">
        <v>30</v>
      </c>
      <c r="E63" s="51">
        <v>50</v>
      </c>
      <c r="F63" s="51"/>
      <c r="G63" s="51">
        <v>0</v>
      </c>
      <c r="H63" s="51">
        <v>0</v>
      </c>
      <c r="I63" s="51">
        <v>0</v>
      </c>
      <c r="J63" s="51">
        <v>15</v>
      </c>
      <c r="K63" s="51">
        <v>41</v>
      </c>
      <c r="L63" s="51">
        <v>55</v>
      </c>
      <c r="M63" s="51">
        <f t="shared" si="4"/>
        <v>0</v>
      </c>
      <c r="N63" s="88">
        <f t="shared" si="7"/>
        <v>0</v>
      </c>
      <c r="O63" s="89">
        <f t="shared" si="8"/>
        <v>0</v>
      </c>
      <c r="P63" s="87">
        <f t="shared" si="9"/>
        <v>50</v>
      </c>
      <c r="Q63" s="52">
        <v>5000</v>
      </c>
      <c r="R63" s="52"/>
      <c r="S63" s="53"/>
      <c r="T63" s="70"/>
      <c r="U63" s="72"/>
      <c r="V63" s="50"/>
      <c r="W63" s="51"/>
      <c r="X63" s="65"/>
      <c r="Y63" s="51"/>
      <c r="Z63" s="65"/>
      <c r="AA63" s="50"/>
      <c r="AB63" s="50"/>
      <c r="AC63" s="50"/>
      <c r="AD63" s="50">
        <v>2204409082</v>
      </c>
      <c r="AE63" s="50"/>
      <c r="AF63" s="50"/>
    </row>
    <row r="64" spans="1:32" s="54" customFormat="1" ht="11.45" customHeight="1" x14ac:dyDescent="0.2">
      <c r="A64" s="51" t="s">
        <v>378</v>
      </c>
      <c r="B64" s="50" t="s">
        <v>43</v>
      </c>
      <c r="C64" s="65" t="s">
        <v>222</v>
      </c>
      <c r="D64" s="51">
        <v>30</v>
      </c>
      <c r="E64" s="51">
        <v>50</v>
      </c>
      <c r="F64" s="51"/>
      <c r="G64" s="51">
        <v>0</v>
      </c>
      <c r="H64" s="51">
        <v>0</v>
      </c>
      <c r="I64" s="51">
        <v>0</v>
      </c>
      <c r="J64" s="51">
        <v>15</v>
      </c>
      <c r="K64" s="51">
        <v>41</v>
      </c>
      <c r="L64" s="51">
        <v>55</v>
      </c>
      <c r="M64" s="51">
        <f t="shared" ref="M64:M94" si="12">(G64*J64)+(H64*K64)+(I64*L64)</f>
        <v>0</v>
      </c>
      <c r="N64" s="88">
        <f t="shared" ref="N64:N110" si="13">(D64/30)*M64</f>
        <v>0</v>
      </c>
      <c r="O64" s="89">
        <f t="shared" ref="O64:O107" si="14">N64+((D64/30)*M64)</f>
        <v>0</v>
      </c>
      <c r="P64" s="87">
        <f t="shared" ref="P64:P69" si="15">N64+E64</f>
        <v>50</v>
      </c>
      <c r="Q64" s="52">
        <v>5000</v>
      </c>
      <c r="R64" s="52"/>
      <c r="S64" s="53"/>
      <c r="T64" s="70"/>
      <c r="U64" s="72"/>
      <c r="V64" s="50"/>
      <c r="W64" s="51"/>
      <c r="X64" s="65"/>
      <c r="Y64" s="51"/>
      <c r="Z64" s="65"/>
      <c r="AA64" s="50"/>
      <c r="AB64" s="50"/>
      <c r="AC64" s="50"/>
      <c r="AD64" s="50">
        <v>2204409082</v>
      </c>
      <c r="AE64" s="50"/>
      <c r="AF64" s="50"/>
    </row>
    <row r="65" spans="1:32" s="54" customFormat="1" ht="12" x14ac:dyDescent="0.2">
      <c r="A65" s="51" t="s">
        <v>379</v>
      </c>
      <c r="B65" s="50" t="s">
        <v>52</v>
      </c>
      <c r="C65" s="65" t="s">
        <v>210</v>
      </c>
      <c r="D65" s="51">
        <v>32</v>
      </c>
      <c r="E65" s="51">
        <v>3000</v>
      </c>
      <c r="F65" s="51">
        <v>5000</v>
      </c>
      <c r="G65" s="51">
        <v>14</v>
      </c>
      <c r="H65" s="51">
        <v>10</v>
      </c>
      <c r="I65" s="51">
        <v>10</v>
      </c>
      <c r="J65" s="51">
        <v>15</v>
      </c>
      <c r="K65" s="51">
        <v>41</v>
      </c>
      <c r="L65" s="51">
        <v>55</v>
      </c>
      <c r="M65" s="51">
        <f t="shared" si="12"/>
        <v>1170</v>
      </c>
      <c r="N65" s="88">
        <f t="shared" si="13"/>
        <v>1248</v>
      </c>
      <c r="O65" s="89">
        <f t="shared" si="14"/>
        <v>2496</v>
      </c>
      <c r="P65" s="87">
        <f t="shared" si="15"/>
        <v>4248</v>
      </c>
      <c r="Q65" s="52">
        <v>4920</v>
      </c>
      <c r="R65" s="52"/>
      <c r="S65" s="52"/>
      <c r="T65" s="69">
        <v>0.79</v>
      </c>
      <c r="U65" s="69">
        <f t="shared" ref="U65:U107" si="16">V65*Q65</f>
        <v>4132.8</v>
      </c>
      <c r="V65" s="77">
        <f t="shared" ref="V65:V107" si="17">T65+W65</f>
        <v>0.84000000000000008</v>
      </c>
      <c r="W65" s="80">
        <v>0.05</v>
      </c>
      <c r="X65" s="65"/>
      <c r="Y65" s="51"/>
      <c r="Z65" s="65"/>
      <c r="AA65" s="50"/>
      <c r="AB65" s="50"/>
      <c r="AC65" s="50"/>
      <c r="AD65" s="50">
        <v>3831630646</v>
      </c>
      <c r="AE65" s="50"/>
      <c r="AF65" s="50"/>
    </row>
    <row r="66" spans="1:32" s="54" customFormat="1" ht="12" x14ac:dyDescent="0.2">
      <c r="A66" s="51" t="s">
        <v>380</v>
      </c>
      <c r="B66" s="50" t="s">
        <v>208</v>
      </c>
      <c r="C66" s="65" t="s">
        <v>210</v>
      </c>
      <c r="D66" s="51">
        <v>32</v>
      </c>
      <c r="E66" s="51">
        <v>1000</v>
      </c>
      <c r="F66" s="51">
        <v>600</v>
      </c>
      <c r="G66" s="51">
        <v>0</v>
      </c>
      <c r="H66" s="51">
        <v>0</v>
      </c>
      <c r="I66" s="51">
        <v>2</v>
      </c>
      <c r="J66" s="51">
        <v>15</v>
      </c>
      <c r="K66" s="51">
        <v>41</v>
      </c>
      <c r="L66" s="51">
        <v>55</v>
      </c>
      <c r="M66" s="51">
        <f t="shared" si="12"/>
        <v>110</v>
      </c>
      <c r="N66" s="88">
        <f t="shared" si="13"/>
        <v>117.33333333333333</v>
      </c>
      <c r="O66" s="89">
        <f t="shared" si="14"/>
        <v>234.66666666666666</v>
      </c>
      <c r="P66" s="87">
        <f t="shared" si="15"/>
        <v>1117.3333333333333</v>
      </c>
      <c r="Q66" s="52">
        <v>4984</v>
      </c>
      <c r="R66" s="52"/>
      <c r="S66" s="52"/>
      <c r="T66" s="69">
        <v>2.9</v>
      </c>
      <c r="U66" s="69">
        <f t="shared" si="16"/>
        <v>14702.8</v>
      </c>
      <c r="V66" s="77">
        <f t="shared" si="17"/>
        <v>2.9499999999999997</v>
      </c>
      <c r="W66" s="80">
        <v>0.05</v>
      </c>
      <c r="X66" s="65"/>
      <c r="Y66" s="51"/>
      <c r="Z66" s="65"/>
      <c r="AA66" s="50"/>
      <c r="AB66" s="50"/>
      <c r="AC66" s="50"/>
      <c r="AD66" s="50">
        <v>3831630646</v>
      </c>
      <c r="AE66" s="50"/>
      <c r="AF66" s="50"/>
    </row>
    <row r="67" spans="1:32" s="54" customFormat="1" ht="12" x14ac:dyDescent="0.2">
      <c r="A67" s="51" t="s">
        <v>381</v>
      </c>
      <c r="B67" s="50" t="s">
        <v>57</v>
      </c>
      <c r="C67" s="65" t="s">
        <v>212</v>
      </c>
      <c r="D67" s="51">
        <v>56</v>
      </c>
      <c r="E67" s="51">
        <v>110</v>
      </c>
      <c r="F67" s="51">
        <v>300</v>
      </c>
      <c r="G67" s="51">
        <v>0</v>
      </c>
      <c r="H67" s="51">
        <v>0</v>
      </c>
      <c r="I67" s="51">
        <v>1</v>
      </c>
      <c r="J67" s="51">
        <v>15</v>
      </c>
      <c r="K67" s="51">
        <v>41</v>
      </c>
      <c r="L67" s="51">
        <v>55</v>
      </c>
      <c r="M67" s="51">
        <f t="shared" si="12"/>
        <v>55</v>
      </c>
      <c r="N67" s="88">
        <f t="shared" si="13"/>
        <v>102.66666666666667</v>
      </c>
      <c r="O67" s="89">
        <f t="shared" si="14"/>
        <v>205.33333333333334</v>
      </c>
      <c r="P67" s="87">
        <f t="shared" si="15"/>
        <v>212.66666666666669</v>
      </c>
      <c r="Q67" s="52">
        <v>4992</v>
      </c>
      <c r="R67" s="52"/>
      <c r="S67" s="53"/>
      <c r="T67" s="69">
        <v>120</v>
      </c>
      <c r="U67" s="69">
        <f t="shared" si="16"/>
        <v>599289.59999999998</v>
      </c>
      <c r="V67" s="77">
        <f t="shared" si="17"/>
        <v>120.05</v>
      </c>
      <c r="W67" s="80">
        <v>0.05</v>
      </c>
      <c r="X67" s="65"/>
      <c r="Y67" s="51"/>
      <c r="Z67" s="65"/>
      <c r="AA67" s="50"/>
      <c r="AB67" s="50"/>
      <c r="AC67" s="50"/>
      <c r="AD67" s="50">
        <v>2204408879</v>
      </c>
      <c r="AE67" s="50"/>
      <c r="AF67" s="50"/>
    </row>
    <row r="68" spans="1:32" s="54" customFormat="1" ht="12" x14ac:dyDescent="0.2">
      <c r="A68" s="51" t="s">
        <v>382</v>
      </c>
      <c r="B68" s="50" t="s">
        <v>62</v>
      </c>
      <c r="C68" s="65" t="s">
        <v>210</v>
      </c>
      <c r="D68" s="51">
        <v>32</v>
      </c>
      <c r="E68" s="51">
        <v>1000</v>
      </c>
      <c r="F68" s="51">
        <v>500</v>
      </c>
      <c r="G68" s="51">
        <v>0</v>
      </c>
      <c r="H68" s="51">
        <v>0</v>
      </c>
      <c r="I68" s="51">
        <v>1</v>
      </c>
      <c r="J68" s="51">
        <v>15</v>
      </c>
      <c r="K68" s="51">
        <v>41</v>
      </c>
      <c r="L68" s="51">
        <v>55</v>
      </c>
      <c r="M68" s="51">
        <f t="shared" si="12"/>
        <v>55</v>
      </c>
      <c r="N68" s="88">
        <f t="shared" si="13"/>
        <v>58.666666666666664</v>
      </c>
      <c r="O68" s="89">
        <f t="shared" si="14"/>
        <v>117.33333333333333</v>
      </c>
      <c r="P68" s="87">
        <f t="shared" si="15"/>
        <v>1058.6666666666667</v>
      </c>
      <c r="Q68" s="52">
        <v>4992</v>
      </c>
      <c r="R68" s="52"/>
      <c r="S68" s="52"/>
      <c r="T68" s="69">
        <v>2.04</v>
      </c>
      <c r="U68" s="69">
        <f t="shared" si="16"/>
        <v>10433.279999999999</v>
      </c>
      <c r="V68" s="77">
        <f t="shared" si="17"/>
        <v>2.09</v>
      </c>
      <c r="W68" s="80">
        <v>0.05</v>
      </c>
      <c r="X68" s="65"/>
      <c r="Y68" s="51"/>
      <c r="Z68" s="65"/>
      <c r="AA68" s="50"/>
      <c r="AB68" s="50"/>
      <c r="AC68" s="50"/>
      <c r="AD68" s="50">
        <v>3831630646</v>
      </c>
      <c r="AE68" s="50"/>
      <c r="AF68" s="50"/>
    </row>
    <row r="69" spans="1:32" s="54" customFormat="1" ht="12" x14ac:dyDescent="0.2">
      <c r="A69" s="51" t="s">
        <v>383</v>
      </c>
      <c r="B69" s="50" t="s">
        <v>64</v>
      </c>
      <c r="C69" s="65" t="s">
        <v>210</v>
      </c>
      <c r="D69" s="51">
        <v>32</v>
      </c>
      <c r="E69" s="51">
        <v>1000</v>
      </c>
      <c r="F69" s="51">
        <v>500</v>
      </c>
      <c r="G69" s="51">
        <v>0</v>
      </c>
      <c r="H69" s="51">
        <v>0</v>
      </c>
      <c r="I69" s="51">
        <v>1</v>
      </c>
      <c r="J69" s="51">
        <v>15</v>
      </c>
      <c r="K69" s="51">
        <v>41</v>
      </c>
      <c r="L69" s="51">
        <v>55</v>
      </c>
      <c r="M69" s="51">
        <f t="shared" si="12"/>
        <v>55</v>
      </c>
      <c r="N69" s="88">
        <f t="shared" si="13"/>
        <v>58.666666666666664</v>
      </c>
      <c r="O69" s="89">
        <f t="shared" si="14"/>
        <v>117.33333333333333</v>
      </c>
      <c r="P69" s="87">
        <f t="shared" si="15"/>
        <v>1058.6666666666667</v>
      </c>
      <c r="Q69" s="52">
        <v>4992</v>
      </c>
      <c r="R69" s="52"/>
      <c r="S69" s="52"/>
      <c r="T69" s="69">
        <v>1.39</v>
      </c>
      <c r="U69" s="69">
        <f t="shared" si="16"/>
        <v>7188.48</v>
      </c>
      <c r="V69" s="77">
        <f t="shared" si="17"/>
        <v>1.44</v>
      </c>
      <c r="W69" s="80">
        <v>0.05</v>
      </c>
      <c r="X69" s="65"/>
      <c r="Y69" s="51"/>
      <c r="Z69" s="65"/>
      <c r="AA69" s="50"/>
      <c r="AB69" s="50"/>
      <c r="AC69" s="50"/>
      <c r="AD69" s="50">
        <v>3831630646</v>
      </c>
      <c r="AE69" s="50"/>
      <c r="AF69" s="50"/>
    </row>
    <row r="70" spans="1:32" s="54" customFormat="1" ht="12" x14ac:dyDescent="0.2">
      <c r="A70" s="51" t="s">
        <v>384</v>
      </c>
      <c r="B70" s="50" t="s">
        <v>68</v>
      </c>
      <c r="C70" s="65" t="s">
        <v>210</v>
      </c>
      <c r="D70" s="51">
        <v>32</v>
      </c>
      <c r="E70" s="51">
        <v>1000</v>
      </c>
      <c r="F70" s="51">
        <v>1000</v>
      </c>
      <c r="G70" s="51">
        <v>0</v>
      </c>
      <c r="H70" s="51">
        <v>0</v>
      </c>
      <c r="I70" s="51">
        <v>4</v>
      </c>
      <c r="J70" s="51">
        <v>15</v>
      </c>
      <c r="K70" s="51">
        <v>41</v>
      </c>
      <c r="L70" s="51">
        <v>55</v>
      </c>
      <c r="M70" s="51">
        <f t="shared" si="12"/>
        <v>220</v>
      </c>
      <c r="N70" s="88">
        <f t="shared" si="13"/>
        <v>234.66666666666666</v>
      </c>
      <c r="O70" s="89">
        <f t="shared" si="14"/>
        <v>469.33333333333331</v>
      </c>
      <c r="P70" s="87">
        <v>1240</v>
      </c>
      <c r="Q70" s="52">
        <v>4968</v>
      </c>
      <c r="R70" s="52"/>
      <c r="S70" s="52"/>
      <c r="T70" s="69">
        <v>0.95</v>
      </c>
      <c r="U70" s="69">
        <f t="shared" si="16"/>
        <v>4968</v>
      </c>
      <c r="V70" s="77">
        <f t="shared" si="17"/>
        <v>1</v>
      </c>
      <c r="W70" s="80">
        <v>0.05</v>
      </c>
      <c r="X70" s="65"/>
      <c r="Y70" s="51"/>
      <c r="Z70" s="65"/>
      <c r="AA70" s="50"/>
      <c r="AB70" s="50"/>
      <c r="AC70" s="50"/>
      <c r="AD70" s="50">
        <v>3831630646</v>
      </c>
      <c r="AE70" s="50"/>
      <c r="AF70" s="50"/>
    </row>
    <row r="71" spans="1:32" s="54" customFormat="1" ht="12" x14ac:dyDescent="0.2">
      <c r="A71" s="51" t="s">
        <v>385</v>
      </c>
      <c r="B71" s="50" t="s">
        <v>79</v>
      </c>
      <c r="C71" s="65" t="s">
        <v>210</v>
      </c>
      <c r="D71" s="51">
        <v>32</v>
      </c>
      <c r="E71" s="51">
        <v>1000</v>
      </c>
      <c r="F71" s="51">
        <v>500</v>
      </c>
      <c r="G71" s="51">
        <v>0</v>
      </c>
      <c r="H71" s="51">
        <v>0</v>
      </c>
      <c r="I71" s="51">
        <v>1</v>
      </c>
      <c r="J71" s="51">
        <v>15</v>
      </c>
      <c r="K71" s="51">
        <v>41</v>
      </c>
      <c r="L71" s="51">
        <v>55</v>
      </c>
      <c r="M71" s="51">
        <f t="shared" si="12"/>
        <v>55</v>
      </c>
      <c r="N71" s="88">
        <f t="shared" si="13"/>
        <v>58.666666666666664</v>
      </c>
      <c r="O71" s="89">
        <f t="shared" si="14"/>
        <v>117.33333333333333</v>
      </c>
      <c r="P71" s="87">
        <f>N71+E71</f>
        <v>1058.6666666666667</v>
      </c>
      <c r="Q71" s="52">
        <v>4992</v>
      </c>
      <c r="R71" s="52"/>
      <c r="S71" s="52"/>
      <c r="T71" s="69">
        <v>1.05</v>
      </c>
      <c r="U71" s="69">
        <f t="shared" si="16"/>
        <v>5491.2000000000007</v>
      </c>
      <c r="V71" s="77">
        <f t="shared" si="17"/>
        <v>1.1000000000000001</v>
      </c>
      <c r="W71" s="80">
        <v>0.05</v>
      </c>
      <c r="X71" s="65"/>
      <c r="Y71" s="51"/>
      <c r="Z71" s="65"/>
      <c r="AA71" s="50"/>
      <c r="AB71" s="50"/>
      <c r="AC71" s="50"/>
      <c r="AD71" s="50">
        <v>3831630646</v>
      </c>
      <c r="AE71" s="50"/>
      <c r="AF71" s="50"/>
    </row>
    <row r="72" spans="1:32" s="54" customFormat="1" ht="12" x14ac:dyDescent="0.2">
      <c r="A72" s="51" t="s">
        <v>386</v>
      </c>
      <c r="B72" s="50" t="s">
        <v>83</v>
      </c>
      <c r="C72" s="65" t="s">
        <v>211</v>
      </c>
      <c r="D72" s="51">
        <v>60</v>
      </c>
      <c r="E72" s="51">
        <v>165</v>
      </c>
      <c r="F72" s="51">
        <v>300</v>
      </c>
      <c r="G72" s="51">
        <v>0</v>
      </c>
      <c r="H72" s="51">
        <v>0</v>
      </c>
      <c r="I72" s="51">
        <v>1</v>
      </c>
      <c r="J72" s="51">
        <v>15</v>
      </c>
      <c r="K72" s="51">
        <v>41</v>
      </c>
      <c r="L72" s="51">
        <v>55</v>
      </c>
      <c r="M72" s="51">
        <f t="shared" si="12"/>
        <v>55</v>
      </c>
      <c r="N72" s="88">
        <f t="shared" si="13"/>
        <v>110</v>
      </c>
      <c r="O72" s="89">
        <f t="shared" si="14"/>
        <v>220</v>
      </c>
      <c r="P72" s="87">
        <f>N72+E72</f>
        <v>275</v>
      </c>
      <c r="Q72" s="52">
        <v>4992</v>
      </c>
      <c r="R72" s="52"/>
      <c r="S72" s="53"/>
      <c r="T72" s="69">
        <v>32</v>
      </c>
      <c r="U72" s="69">
        <f t="shared" si="16"/>
        <v>159993.59999999998</v>
      </c>
      <c r="V72" s="77">
        <f t="shared" si="17"/>
        <v>32.049999999999997</v>
      </c>
      <c r="W72" s="80">
        <v>0.05</v>
      </c>
      <c r="X72" s="65"/>
      <c r="Y72" s="51"/>
      <c r="Z72" s="65"/>
      <c r="AA72" s="50"/>
      <c r="AB72" s="50"/>
      <c r="AC72" s="50"/>
      <c r="AD72" s="50">
        <v>3889868176</v>
      </c>
      <c r="AE72" s="50"/>
      <c r="AF72" s="50"/>
    </row>
    <row r="73" spans="1:32" s="54" customFormat="1" ht="12" x14ac:dyDescent="0.2">
      <c r="A73" s="51" t="s">
        <v>387</v>
      </c>
      <c r="B73" s="50" t="s">
        <v>84</v>
      </c>
      <c r="C73" s="65" t="s">
        <v>211</v>
      </c>
      <c r="D73" s="51">
        <v>60</v>
      </c>
      <c r="E73" s="51">
        <v>165</v>
      </c>
      <c r="F73" s="51">
        <v>300</v>
      </c>
      <c r="G73" s="51">
        <v>0</v>
      </c>
      <c r="H73" s="51">
        <v>0</v>
      </c>
      <c r="I73" s="51">
        <v>1</v>
      </c>
      <c r="J73" s="51">
        <v>15</v>
      </c>
      <c r="K73" s="51">
        <v>41</v>
      </c>
      <c r="L73" s="51">
        <v>55</v>
      </c>
      <c r="M73" s="51">
        <f t="shared" si="12"/>
        <v>55</v>
      </c>
      <c r="N73" s="88">
        <f t="shared" si="13"/>
        <v>110</v>
      </c>
      <c r="O73" s="89">
        <f t="shared" si="14"/>
        <v>220</v>
      </c>
      <c r="P73" s="87">
        <f>N73+E73</f>
        <v>275</v>
      </c>
      <c r="Q73" s="52">
        <v>4992</v>
      </c>
      <c r="R73" s="52"/>
      <c r="S73" s="53"/>
      <c r="T73" s="69">
        <v>32</v>
      </c>
      <c r="U73" s="69">
        <f t="shared" si="16"/>
        <v>159993.59999999998</v>
      </c>
      <c r="V73" s="77">
        <f t="shared" si="17"/>
        <v>32.049999999999997</v>
      </c>
      <c r="W73" s="80">
        <v>0.05</v>
      </c>
      <c r="X73" s="65"/>
      <c r="Y73" s="51"/>
      <c r="Z73" s="65"/>
      <c r="AA73" s="50"/>
      <c r="AB73" s="50"/>
      <c r="AC73" s="50"/>
      <c r="AD73" s="50">
        <v>3889868176</v>
      </c>
      <c r="AE73" s="50"/>
      <c r="AF73" s="50"/>
    </row>
    <row r="74" spans="1:32" s="54" customFormat="1" ht="12" x14ac:dyDescent="0.2">
      <c r="A74" s="51" t="s">
        <v>432</v>
      </c>
      <c r="B74" s="50" t="s">
        <v>85</v>
      </c>
      <c r="C74" s="65" t="s">
        <v>211</v>
      </c>
      <c r="D74" s="51">
        <v>60</v>
      </c>
      <c r="E74" s="51">
        <v>165</v>
      </c>
      <c r="F74" s="51">
        <v>300</v>
      </c>
      <c r="G74" s="51">
        <v>0</v>
      </c>
      <c r="H74" s="51">
        <v>0</v>
      </c>
      <c r="I74" s="51">
        <v>1</v>
      </c>
      <c r="J74" s="51">
        <v>15</v>
      </c>
      <c r="K74" s="51">
        <v>41</v>
      </c>
      <c r="L74" s="51">
        <v>55</v>
      </c>
      <c r="M74" s="51">
        <f t="shared" si="12"/>
        <v>55</v>
      </c>
      <c r="N74" s="88">
        <f t="shared" si="13"/>
        <v>110</v>
      </c>
      <c r="O74" s="89">
        <f t="shared" si="14"/>
        <v>220</v>
      </c>
      <c r="P74" s="87">
        <f>N74+E74</f>
        <v>275</v>
      </c>
      <c r="Q74" s="52">
        <v>4992</v>
      </c>
      <c r="R74" s="52"/>
      <c r="S74" s="53"/>
      <c r="T74" s="69">
        <v>32</v>
      </c>
      <c r="U74" s="69">
        <f t="shared" si="16"/>
        <v>159993.59999999998</v>
      </c>
      <c r="V74" s="77">
        <f t="shared" si="17"/>
        <v>32.049999999999997</v>
      </c>
      <c r="W74" s="80">
        <v>0.05</v>
      </c>
      <c r="X74" s="65"/>
      <c r="Y74" s="51"/>
      <c r="Z74" s="65"/>
      <c r="AA74" s="50"/>
      <c r="AB74" s="50"/>
      <c r="AC74" s="50"/>
      <c r="AD74" s="50">
        <v>3889868176</v>
      </c>
      <c r="AE74" s="50"/>
      <c r="AF74" s="50"/>
    </row>
    <row r="75" spans="1:32" s="54" customFormat="1" ht="12" x14ac:dyDescent="0.2">
      <c r="A75" s="51" t="s">
        <v>388</v>
      </c>
      <c r="B75" s="50" t="s">
        <v>92</v>
      </c>
      <c r="C75" s="65" t="s">
        <v>210</v>
      </c>
      <c r="D75" s="51">
        <v>32</v>
      </c>
      <c r="E75" s="51">
        <v>1000</v>
      </c>
      <c r="F75" s="51">
        <v>500</v>
      </c>
      <c r="G75" s="51">
        <v>0</v>
      </c>
      <c r="H75" s="51">
        <v>0</v>
      </c>
      <c r="I75" s="51">
        <v>2</v>
      </c>
      <c r="J75" s="51">
        <v>15</v>
      </c>
      <c r="K75" s="51">
        <v>41</v>
      </c>
      <c r="L75" s="51">
        <v>55</v>
      </c>
      <c r="M75" s="51">
        <f t="shared" si="12"/>
        <v>110</v>
      </c>
      <c r="N75" s="88">
        <f t="shared" si="13"/>
        <v>117.33333333333333</v>
      </c>
      <c r="O75" s="89">
        <f t="shared" si="14"/>
        <v>234.66666666666666</v>
      </c>
      <c r="P75" s="87">
        <v>1121</v>
      </c>
      <c r="Q75" s="52">
        <v>4984</v>
      </c>
      <c r="R75" s="52"/>
      <c r="S75" s="52"/>
      <c r="T75" s="69">
        <v>0.57999999999999996</v>
      </c>
      <c r="U75" s="69">
        <f t="shared" si="16"/>
        <v>3139.92</v>
      </c>
      <c r="V75" s="77">
        <f t="shared" si="17"/>
        <v>0.63</v>
      </c>
      <c r="W75" s="80">
        <v>0.05</v>
      </c>
      <c r="X75" s="65"/>
      <c r="Y75" s="51"/>
      <c r="Z75" s="65"/>
      <c r="AA75" s="50"/>
      <c r="AB75" s="50"/>
      <c r="AC75" s="50"/>
      <c r="AD75" s="50">
        <v>3831630646</v>
      </c>
      <c r="AE75" s="50"/>
      <c r="AF75" s="50"/>
    </row>
    <row r="76" spans="1:32" s="54" customFormat="1" ht="12" x14ac:dyDescent="0.2">
      <c r="A76" s="51" t="s">
        <v>389</v>
      </c>
      <c r="B76" s="50" t="s">
        <v>94</v>
      </c>
      <c r="C76" s="65" t="s">
        <v>210</v>
      </c>
      <c r="D76" s="51">
        <v>32</v>
      </c>
      <c r="E76" s="51">
        <v>1000</v>
      </c>
      <c r="F76" s="51">
        <v>500</v>
      </c>
      <c r="G76" s="51">
        <v>0</v>
      </c>
      <c r="H76" s="51">
        <v>0</v>
      </c>
      <c r="I76" s="51">
        <v>1</v>
      </c>
      <c r="J76" s="51">
        <v>15</v>
      </c>
      <c r="K76" s="51">
        <v>41</v>
      </c>
      <c r="L76" s="51">
        <v>55</v>
      </c>
      <c r="M76" s="51">
        <f t="shared" si="12"/>
        <v>55</v>
      </c>
      <c r="N76" s="88">
        <f t="shared" si="13"/>
        <v>58.666666666666664</v>
      </c>
      <c r="O76" s="89">
        <f t="shared" si="14"/>
        <v>117.33333333333333</v>
      </c>
      <c r="P76" s="87">
        <v>1061</v>
      </c>
      <c r="Q76" s="52">
        <v>4992</v>
      </c>
      <c r="R76" s="52"/>
      <c r="S76" s="52"/>
      <c r="T76" s="69">
        <v>1.75</v>
      </c>
      <c r="U76" s="69">
        <f t="shared" si="16"/>
        <v>8985.6</v>
      </c>
      <c r="V76" s="77">
        <f t="shared" si="17"/>
        <v>1.8</v>
      </c>
      <c r="W76" s="80">
        <v>0.05</v>
      </c>
      <c r="X76" s="65"/>
      <c r="Y76" s="51"/>
      <c r="Z76" s="65"/>
      <c r="AA76" s="50"/>
      <c r="AB76" s="50"/>
      <c r="AC76" s="50"/>
      <c r="AD76" s="50">
        <v>3831630646</v>
      </c>
      <c r="AE76" s="50"/>
      <c r="AF76" s="50"/>
    </row>
    <row r="77" spans="1:32" s="54" customFormat="1" ht="12" x14ac:dyDescent="0.2">
      <c r="A77" s="51" t="s">
        <v>390</v>
      </c>
      <c r="B77" s="50" t="s">
        <v>204</v>
      </c>
      <c r="C77" s="65" t="s">
        <v>210</v>
      </c>
      <c r="D77" s="51">
        <v>32</v>
      </c>
      <c r="E77" s="51">
        <v>1000</v>
      </c>
      <c r="F77" s="51">
        <v>500</v>
      </c>
      <c r="G77" s="51">
        <v>0</v>
      </c>
      <c r="H77" s="51">
        <v>2</v>
      </c>
      <c r="I77" s="51">
        <v>0</v>
      </c>
      <c r="J77" s="51">
        <v>15</v>
      </c>
      <c r="K77" s="51">
        <v>41</v>
      </c>
      <c r="L77" s="51">
        <v>55</v>
      </c>
      <c r="M77" s="51">
        <f t="shared" si="12"/>
        <v>82</v>
      </c>
      <c r="N77" s="88">
        <f t="shared" si="13"/>
        <v>87.466666666666669</v>
      </c>
      <c r="O77" s="89">
        <f t="shared" si="14"/>
        <v>174.93333333333334</v>
      </c>
      <c r="P77" s="87">
        <f t="shared" ref="P77:P84" si="18">N77+E77</f>
        <v>1087.4666666666667</v>
      </c>
      <c r="Q77" s="52">
        <v>5000</v>
      </c>
      <c r="R77" s="52"/>
      <c r="S77" s="52"/>
      <c r="T77" s="69">
        <v>2.9</v>
      </c>
      <c r="U77" s="69">
        <f t="shared" si="16"/>
        <v>14749.999999999998</v>
      </c>
      <c r="V77" s="77">
        <f t="shared" si="17"/>
        <v>2.9499999999999997</v>
      </c>
      <c r="W77" s="80">
        <v>0.05</v>
      </c>
      <c r="X77" s="65"/>
      <c r="Y77" s="51"/>
      <c r="Z77" s="65"/>
      <c r="AA77" s="50"/>
      <c r="AB77" s="50"/>
      <c r="AC77" s="50"/>
      <c r="AD77" s="50">
        <v>3831630646</v>
      </c>
      <c r="AE77" s="50"/>
      <c r="AF77" s="50"/>
    </row>
    <row r="78" spans="1:32" s="54" customFormat="1" ht="12" x14ac:dyDescent="0.2">
      <c r="A78" s="51" t="s">
        <v>391</v>
      </c>
      <c r="B78" s="50" t="s">
        <v>251</v>
      </c>
      <c r="C78" s="65" t="s">
        <v>210</v>
      </c>
      <c r="D78" s="51">
        <v>32</v>
      </c>
      <c r="E78" s="51">
        <v>1000</v>
      </c>
      <c r="F78" s="51">
        <v>500</v>
      </c>
      <c r="G78" s="51">
        <v>0</v>
      </c>
      <c r="H78" s="51">
        <v>0</v>
      </c>
      <c r="I78" s="51">
        <v>1</v>
      </c>
      <c r="J78" s="51">
        <v>15</v>
      </c>
      <c r="K78" s="51">
        <v>41</v>
      </c>
      <c r="L78" s="51">
        <v>55</v>
      </c>
      <c r="M78" s="51">
        <f t="shared" si="12"/>
        <v>55</v>
      </c>
      <c r="N78" s="88">
        <f t="shared" si="13"/>
        <v>58.666666666666664</v>
      </c>
      <c r="O78" s="89">
        <f t="shared" si="14"/>
        <v>117.33333333333333</v>
      </c>
      <c r="P78" s="87">
        <f t="shared" si="18"/>
        <v>1058.6666666666667</v>
      </c>
      <c r="Q78" s="52">
        <v>4992</v>
      </c>
      <c r="R78" s="52"/>
      <c r="S78" s="52"/>
      <c r="T78" s="69">
        <v>1.5</v>
      </c>
      <c r="U78" s="69">
        <f t="shared" si="16"/>
        <v>7737.6</v>
      </c>
      <c r="V78" s="77">
        <f t="shared" si="17"/>
        <v>1.55</v>
      </c>
      <c r="W78" s="80">
        <v>0.05</v>
      </c>
      <c r="X78" s="65"/>
      <c r="Y78" s="51"/>
      <c r="Z78" s="65"/>
      <c r="AA78" s="50"/>
      <c r="AB78" s="50"/>
      <c r="AC78" s="50"/>
      <c r="AD78" s="50">
        <v>3831630646</v>
      </c>
      <c r="AE78" s="50"/>
      <c r="AF78" s="50"/>
    </row>
    <row r="79" spans="1:32" s="54" customFormat="1" ht="12" x14ac:dyDescent="0.2">
      <c r="A79" s="51" t="s">
        <v>392</v>
      </c>
      <c r="B79" s="50" t="s">
        <v>250</v>
      </c>
      <c r="C79" s="65" t="s">
        <v>210</v>
      </c>
      <c r="D79" s="51">
        <v>32</v>
      </c>
      <c r="E79" s="51">
        <v>1000</v>
      </c>
      <c r="F79" s="51">
        <v>500</v>
      </c>
      <c r="G79" s="51">
        <v>0</v>
      </c>
      <c r="H79" s="51">
        <v>1</v>
      </c>
      <c r="I79" s="51">
        <v>0</v>
      </c>
      <c r="J79" s="51">
        <v>15</v>
      </c>
      <c r="K79" s="51">
        <v>41</v>
      </c>
      <c r="L79" s="51">
        <v>55</v>
      </c>
      <c r="M79" s="51">
        <f t="shared" si="12"/>
        <v>41</v>
      </c>
      <c r="N79" s="88">
        <f t="shared" si="13"/>
        <v>43.733333333333334</v>
      </c>
      <c r="O79" s="89">
        <f t="shared" si="14"/>
        <v>87.466666666666669</v>
      </c>
      <c r="P79" s="87">
        <f t="shared" si="18"/>
        <v>1043.7333333333333</v>
      </c>
      <c r="Q79" s="52">
        <v>5000</v>
      </c>
      <c r="R79" s="52"/>
      <c r="S79" s="52"/>
      <c r="T79" s="69">
        <v>1.5</v>
      </c>
      <c r="U79" s="69">
        <f t="shared" si="16"/>
        <v>7750</v>
      </c>
      <c r="V79" s="77">
        <f t="shared" si="17"/>
        <v>1.55</v>
      </c>
      <c r="W79" s="80">
        <v>0.05</v>
      </c>
      <c r="X79" s="65"/>
      <c r="Y79" s="51"/>
      <c r="Z79" s="65"/>
      <c r="AA79" s="50"/>
      <c r="AB79" s="50"/>
      <c r="AC79" s="50"/>
      <c r="AD79" s="50">
        <v>3831630646</v>
      </c>
      <c r="AE79" s="50"/>
      <c r="AF79" s="50"/>
    </row>
    <row r="80" spans="1:32" s="54" customFormat="1" ht="12" x14ac:dyDescent="0.2">
      <c r="A80" s="51" t="s">
        <v>393</v>
      </c>
      <c r="B80" s="50" t="s">
        <v>252</v>
      </c>
      <c r="C80" s="65" t="s">
        <v>210</v>
      </c>
      <c r="D80" s="51">
        <v>32</v>
      </c>
      <c r="E80" s="51">
        <v>1000</v>
      </c>
      <c r="F80" s="51">
        <v>500</v>
      </c>
      <c r="G80" s="51">
        <v>0</v>
      </c>
      <c r="H80" s="51">
        <v>1</v>
      </c>
      <c r="I80" s="51">
        <v>1</v>
      </c>
      <c r="J80" s="51">
        <v>15</v>
      </c>
      <c r="K80" s="51">
        <v>41</v>
      </c>
      <c r="L80" s="51">
        <v>55</v>
      </c>
      <c r="M80" s="51">
        <f t="shared" si="12"/>
        <v>96</v>
      </c>
      <c r="N80" s="88">
        <f t="shared" si="13"/>
        <v>102.4</v>
      </c>
      <c r="O80" s="89">
        <f t="shared" si="14"/>
        <v>204.8</v>
      </c>
      <c r="P80" s="87">
        <f t="shared" si="18"/>
        <v>1102.4000000000001</v>
      </c>
      <c r="Q80" s="52">
        <v>4992</v>
      </c>
      <c r="R80" s="52"/>
      <c r="S80" s="53"/>
      <c r="T80" s="69">
        <v>1.5</v>
      </c>
      <c r="U80" s="69">
        <f t="shared" si="16"/>
        <v>7737.6</v>
      </c>
      <c r="V80" s="77">
        <f t="shared" si="17"/>
        <v>1.55</v>
      </c>
      <c r="W80" s="80">
        <v>0.05</v>
      </c>
      <c r="X80" s="65"/>
      <c r="Y80" s="51"/>
      <c r="Z80" s="65"/>
      <c r="AA80" s="50"/>
      <c r="AB80" s="50"/>
      <c r="AC80" s="50"/>
      <c r="AD80" s="50">
        <v>3831630646</v>
      </c>
      <c r="AE80" s="50"/>
      <c r="AF80" s="50"/>
    </row>
    <row r="81" spans="1:32" s="54" customFormat="1" ht="12" x14ac:dyDescent="0.2">
      <c r="A81" s="51" t="s">
        <v>394</v>
      </c>
      <c r="B81" s="50" t="s">
        <v>253</v>
      </c>
      <c r="C81" s="65" t="s">
        <v>210</v>
      </c>
      <c r="D81" s="51">
        <v>32</v>
      </c>
      <c r="E81" s="51">
        <v>1000</v>
      </c>
      <c r="F81" s="51">
        <v>500</v>
      </c>
      <c r="G81" s="51">
        <v>0</v>
      </c>
      <c r="H81" s="51">
        <v>1</v>
      </c>
      <c r="I81" s="51">
        <v>1</v>
      </c>
      <c r="J81" s="51">
        <v>15</v>
      </c>
      <c r="K81" s="51">
        <v>41</v>
      </c>
      <c r="L81" s="51">
        <v>55</v>
      </c>
      <c r="M81" s="51">
        <f t="shared" si="12"/>
        <v>96</v>
      </c>
      <c r="N81" s="88">
        <f t="shared" si="13"/>
        <v>102.4</v>
      </c>
      <c r="O81" s="89">
        <f t="shared" si="14"/>
        <v>204.8</v>
      </c>
      <c r="P81" s="87">
        <f t="shared" si="18"/>
        <v>1102.4000000000001</v>
      </c>
      <c r="Q81" s="52">
        <v>4992</v>
      </c>
      <c r="R81" s="52"/>
      <c r="S81" s="53"/>
      <c r="T81" s="69">
        <v>1.5</v>
      </c>
      <c r="U81" s="69">
        <f t="shared" si="16"/>
        <v>7737.6</v>
      </c>
      <c r="V81" s="77">
        <f t="shared" si="17"/>
        <v>1.55</v>
      </c>
      <c r="W81" s="80">
        <v>0.05</v>
      </c>
      <c r="X81" s="65"/>
      <c r="Y81" s="51"/>
      <c r="Z81" s="65"/>
      <c r="AA81" s="50"/>
      <c r="AB81" s="50"/>
      <c r="AC81" s="50"/>
      <c r="AD81" s="50">
        <v>3831630646</v>
      </c>
      <c r="AE81" s="50"/>
      <c r="AF81" s="50"/>
    </row>
    <row r="82" spans="1:32" s="54" customFormat="1" ht="12" x14ac:dyDescent="0.2">
      <c r="A82" s="51" t="s">
        <v>395</v>
      </c>
      <c r="B82" s="50" t="s">
        <v>254</v>
      </c>
      <c r="C82" s="65" t="s">
        <v>210</v>
      </c>
      <c r="D82" s="51">
        <v>32</v>
      </c>
      <c r="E82" s="51">
        <v>1000</v>
      </c>
      <c r="F82" s="51">
        <v>500</v>
      </c>
      <c r="G82" s="51">
        <v>0</v>
      </c>
      <c r="H82" s="51">
        <v>2</v>
      </c>
      <c r="I82" s="51">
        <v>2</v>
      </c>
      <c r="J82" s="51">
        <v>15</v>
      </c>
      <c r="K82" s="51">
        <v>41</v>
      </c>
      <c r="L82" s="51">
        <v>55</v>
      </c>
      <c r="M82" s="51">
        <f t="shared" si="12"/>
        <v>192</v>
      </c>
      <c r="N82" s="88">
        <f t="shared" si="13"/>
        <v>204.8</v>
      </c>
      <c r="O82" s="89">
        <f t="shared" si="14"/>
        <v>409.6</v>
      </c>
      <c r="P82" s="87">
        <f t="shared" si="18"/>
        <v>1204.8</v>
      </c>
      <c r="Q82" s="52">
        <v>4984</v>
      </c>
      <c r="R82" s="52"/>
      <c r="S82" s="52"/>
      <c r="T82" s="69">
        <v>1.5</v>
      </c>
      <c r="U82" s="69">
        <f t="shared" si="16"/>
        <v>7725.2</v>
      </c>
      <c r="V82" s="77">
        <f t="shared" si="17"/>
        <v>1.55</v>
      </c>
      <c r="W82" s="80">
        <v>0.05</v>
      </c>
      <c r="X82" s="65"/>
      <c r="Y82" s="51"/>
      <c r="Z82" s="65"/>
      <c r="AA82" s="50"/>
      <c r="AB82" s="50"/>
      <c r="AC82" s="50"/>
      <c r="AD82" s="50">
        <v>3831630646</v>
      </c>
      <c r="AE82" s="50"/>
      <c r="AF82" s="50"/>
    </row>
    <row r="83" spans="1:32" s="54" customFormat="1" ht="12" x14ac:dyDescent="0.2">
      <c r="A83" s="51" t="s">
        <v>396</v>
      </c>
      <c r="B83" s="50" t="s">
        <v>255</v>
      </c>
      <c r="C83" s="65" t="s">
        <v>210</v>
      </c>
      <c r="D83" s="51">
        <v>32</v>
      </c>
      <c r="E83" s="51">
        <v>1300</v>
      </c>
      <c r="F83" s="51">
        <v>2600</v>
      </c>
      <c r="G83" s="51">
        <v>0</v>
      </c>
      <c r="H83" s="51">
        <v>2</v>
      </c>
      <c r="I83" s="51">
        <v>1</v>
      </c>
      <c r="J83" s="51">
        <v>15</v>
      </c>
      <c r="K83" s="51">
        <v>41</v>
      </c>
      <c r="L83" s="51">
        <v>55</v>
      </c>
      <c r="M83" s="51">
        <f t="shared" si="12"/>
        <v>137</v>
      </c>
      <c r="N83" s="88">
        <f t="shared" si="13"/>
        <v>146.13333333333333</v>
      </c>
      <c r="O83" s="89">
        <f t="shared" si="14"/>
        <v>292.26666666666665</v>
      </c>
      <c r="P83" s="87">
        <f t="shared" si="18"/>
        <v>1446.1333333333332</v>
      </c>
      <c r="Q83" s="52">
        <v>4992</v>
      </c>
      <c r="R83" s="52"/>
      <c r="S83" s="52"/>
      <c r="T83" s="69">
        <v>1.5</v>
      </c>
      <c r="U83" s="69">
        <f t="shared" si="16"/>
        <v>7737.6</v>
      </c>
      <c r="V83" s="77">
        <f t="shared" si="17"/>
        <v>1.55</v>
      </c>
      <c r="W83" s="80">
        <v>0.05</v>
      </c>
      <c r="X83" s="65"/>
      <c r="Y83" s="51"/>
      <c r="Z83" s="65"/>
      <c r="AA83" s="50"/>
      <c r="AB83" s="50"/>
      <c r="AC83" s="50"/>
      <c r="AD83" s="50">
        <v>3831630646</v>
      </c>
      <c r="AE83" s="50"/>
      <c r="AF83" s="50"/>
    </row>
    <row r="84" spans="1:32" s="54" customFormat="1" ht="12" x14ac:dyDescent="0.2">
      <c r="A84" s="51" t="s">
        <v>397</v>
      </c>
      <c r="B84" s="50" t="s">
        <v>60</v>
      </c>
      <c r="C84" s="65" t="s">
        <v>210</v>
      </c>
      <c r="D84" s="51">
        <v>32</v>
      </c>
      <c r="E84" s="51">
        <v>1000</v>
      </c>
      <c r="F84" s="51">
        <v>1000</v>
      </c>
      <c r="G84" s="51">
        <v>0</v>
      </c>
      <c r="H84" s="51">
        <v>2</v>
      </c>
      <c r="I84" s="51">
        <v>2</v>
      </c>
      <c r="J84" s="51">
        <v>15</v>
      </c>
      <c r="K84" s="51">
        <v>41</v>
      </c>
      <c r="L84" s="51">
        <v>55</v>
      </c>
      <c r="M84" s="51">
        <f t="shared" si="12"/>
        <v>192</v>
      </c>
      <c r="N84" s="88">
        <f t="shared" si="13"/>
        <v>204.8</v>
      </c>
      <c r="O84" s="89">
        <f t="shared" si="14"/>
        <v>409.6</v>
      </c>
      <c r="P84" s="87">
        <f t="shared" si="18"/>
        <v>1204.8</v>
      </c>
      <c r="Q84" s="52">
        <v>4984</v>
      </c>
      <c r="R84" s="52"/>
      <c r="S84" s="53"/>
      <c r="T84" s="69">
        <v>1.1000000000000001</v>
      </c>
      <c r="U84" s="69">
        <f t="shared" si="16"/>
        <v>5731.6</v>
      </c>
      <c r="V84" s="77">
        <f t="shared" si="17"/>
        <v>1.1500000000000001</v>
      </c>
      <c r="W84" s="80">
        <v>0.05</v>
      </c>
      <c r="X84" s="65"/>
      <c r="Y84" s="51"/>
      <c r="Z84" s="65"/>
      <c r="AA84" s="50"/>
      <c r="AB84" s="50"/>
      <c r="AC84" s="50"/>
      <c r="AD84" s="50">
        <v>3831630646</v>
      </c>
      <c r="AE84" s="50"/>
      <c r="AF84" s="50"/>
    </row>
    <row r="85" spans="1:32" s="54" customFormat="1" ht="12" x14ac:dyDescent="0.2">
      <c r="A85" s="51" t="s">
        <v>398</v>
      </c>
      <c r="B85" s="50" t="s">
        <v>66</v>
      </c>
      <c r="C85" s="65" t="s">
        <v>210</v>
      </c>
      <c r="D85" s="51">
        <v>32</v>
      </c>
      <c r="E85" s="51">
        <v>1000</v>
      </c>
      <c r="F85" s="51">
        <v>1000</v>
      </c>
      <c r="G85" s="51">
        <v>0</v>
      </c>
      <c r="H85" s="51">
        <v>2</v>
      </c>
      <c r="I85" s="51">
        <v>2</v>
      </c>
      <c r="J85" s="51">
        <v>15</v>
      </c>
      <c r="K85" s="51">
        <v>41</v>
      </c>
      <c r="L85" s="51">
        <v>55</v>
      </c>
      <c r="M85" s="51">
        <f t="shared" si="12"/>
        <v>192</v>
      </c>
      <c r="N85" s="88">
        <f t="shared" si="13"/>
        <v>204.8</v>
      </c>
      <c r="O85" s="89">
        <f t="shared" si="14"/>
        <v>409.6</v>
      </c>
      <c r="P85" s="87">
        <v>1206</v>
      </c>
      <c r="Q85" s="52">
        <v>4984</v>
      </c>
      <c r="R85" s="52"/>
      <c r="S85" s="53"/>
      <c r="T85" s="69">
        <v>1.85</v>
      </c>
      <c r="U85" s="69">
        <f t="shared" si="16"/>
        <v>9469.6</v>
      </c>
      <c r="V85" s="77">
        <f t="shared" si="17"/>
        <v>1.9000000000000001</v>
      </c>
      <c r="W85" s="80">
        <v>0.05</v>
      </c>
      <c r="X85" s="65"/>
      <c r="Y85" s="51"/>
      <c r="Z85" s="65"/>
      <c r="AA85" s="50"/>
      <c r="AB85" s="50"/>
      <c r="AC85" s="50"/>
      <c r="AD85" s="50">
        <v>3831630646</v>
      </c>
      <c r="AE85" s="50"/>
      <c r="AF85" s="50"/>
    </row>
    <row r="86" spans="1:32" s="54" customFormat="1" ht="12" x14ac:dyDescent="0.2">
      <c r="A86" s="51" t="s">
        <v>399</v>
      </c>
      <c r="B86" s="50" t="s">
        <v>70</v>
      </c>
      <c r="C86" s="65" t="s">
        <v>210</v>
      </c>
      <c r="D86" s="51">
        <v>32</v>
      </c>
      <c r="E86" s="51">
        <v>1000</v>
      </c>
      <c r="F86" s="51">
        <v>500</v>
      </c>
      <c r="G86" s="51">
        <v>0</v>
      </c>
      <c r="H86" s="51">
        <v>1</v>
      </c>
      <c r="I86" s="51">
        <v>1</v>
      </c>
      <c r="J86" s="51">
        <v>15</v>
      </c>
      <c r="K86" s="51">
        <v>41</v>
      </c>
      <c r="L86" s="51">
        <v>55</v>
      </c>
      <c r="M86" s="51">
        <f t="shared" si="12"/>
        <v>96</v>
      </c>
      <c r="N86" s="88">
        <f t="shared" si="13"/>
        <v>102.4</v>
      </c>
      <c r="O86" s="89">
        <f t="shared" si="14"/>
        <v>204.8</v>
      </c>
      <c r="P86" s="87">
        <f>N86+E86</f>
        <v>1102.4000000000001</v>
      </c>
      <c r="Q86" s="52">
        <v>4992</v>
      </c>
      <c r="R86" s="52"/>
      <c r="S86" s="52"/>
      <c r="T86" s="69">
        <v>2.85</v>
      </c>
      <c r="U86" s="69">
        <f t="shared" si="16"/>
        <v>14476.8</v>
      </c>
      <c r="V86" s="77">
        <f t="shared" si="17"/>
        <v>2.9</v>
      </c>
      <c r="W86" s="80">
        <v>0.05</v>
      </c>
      <c r="X86" s="65"/>
      <c r="Y86" s="51"/>
      <c r="Z86" s="65"/>
      <c r="AA86" s="50"/>
      <c r="AB86" s="50"/>
      <c r="AC86" s="50"/>
      <c r="AD86" s="50">
        <v>3831630646</v>
      </c>
      <c r="AE86" s="50"/>
      <c r="AF86" s="50"/>
    </row>
    <row r="87" spans="1:32" s="54" customFormat="1" ht="12" x14ac:dyDescent="0.2">
      <c r="A87" s="51" t="s">
        <v>400</v>
      </c>
      <c r="B87" s="50" t="s">
        <v>77</v>
      </c>
      <c r="C87" s="65" t="s">
        <v>212</v>
      </c>
      <c r="D87" s="51">
        <v>56</v>
      </c>
      <c r="E87" s="51">
        <v>90</v>
      </c>
      <c r="F87" s="51">
        <v>200</v>
      </c>
      <c r="G87" s="51">
        <v>0</v>
      </c>
      <c r="H87" s="51">
        <v>1</v>
      </c>
      <c r="I87" s="51">
        <v>0</v>
      </c>
      <c r="J87" s="51">
        <v>15</v>
      </c>
      <c r="K87" s="51">
        <v>41</v>
      </c>
      <c r="L87" s="51">
        <v>55</v>
      </c>
      <c r="M87" s="51">
        <f t="shared" si="12"/>
        <v>41</v>
      </c>
      <c r="N87" s="88">
        <f t="shared" si="13"/>
        <v>76.533333333333331</v>
      </c>
      <c r="O87" s="89">
        <f t="shared" si="14"/>
        <v>153.06666666666666</v>
      </c>
      <c r="P87" s="87">
        <f>N87+E87</f>
        <v>166.53333333333333</v>
      </c>
      <c r="Q87" s="52">
        <v>5000</v>
      </c>
      <c r="R87" s="52"/>
      <c r="S87" s="53"/>
      <c r="T87" s="69">
        <v>120</v>
      </c>
      <c r="U87" s="69">
        <f t="shared" si="16"/>
        <v>600250</v>
      </c>
      <c r="V87" s="77">
        <f t="shared" si="17"/>
        <v>120.05</v>
      </c>
      <c r="W87" s="80">
        <v>0.05</v>
      </c>
      <c r="X87" s="65"/>
      <c r="Y87" s="51"/>
      <c r="Z87" s="65"/>
      <c r="AA87" s="50"/>
      <c r="AB87" s="50"/>
      <c r="AC87" s="50"/>
      <c r="AD87" s="50">
        <v>2204408879</v>
      </c>
      <c r="AE87" s="50"/>
      <c r="AF87" s="50"/>
    </row>
    <row r="88" spans="1:32" s="54" customFormat="1" ht="12" x14ac:dyDescent="0.2">
      <c r="A88" s="51" t="s">
        <v>401</v>
      </c>
      <c r="B88" s="50" t="s">
        <v>62</v>
      </c>
      <c r="C88" s="65" t="s">
        <v>210</v>
      </c>
      <c r="D88" s="51">
        <v>32</v>
      </c>
      <c r="E88" s="51">
        <v>1000</v>
      </c>
      <c r="F88" s="51">
        <v>350</v>
      </c>
      <c r="G88" s="51">
        <v>0</v>
      </c>
      <c r="H88" s="51">
        <v>1</v>
      </c>
      <c r="I88" s="51">
        <v>0</v>
      </c>
      <c r="J88" s="51">
        <v>15</v>
      </c>
      <c r="K88" s="51">
        <v>41</v>
      </c>
      <c r="L88" s="51">
        <v>55</v>
      </c>
      <c r="M88" s="51">
        <f t="shared" si="12"/>
        <v>41</v>
      </c>
      <c r="N88" s="88">
        <f t="shared" si="13"/>
        <v>43.733333333333334</v>
      </c>
      <c r="O88" s="89">
        <f t="shared" si="14"/>
        <v>87.466666666666669</v>
      </c>
      <c r="P88" s="87">
        <f>N88+E88</f>
        <v>1043.7333333333333</v>
      </c>
      <c r="Q88" s="52">
        <v>5000</v>
      </c>
      <c r="R88" s="52"/>
      <c r="S88" s="52"/>
      <c r="T88" s="69">
        <v>2.04</v>
      </c>
      <c r="U88" s="69">
        <f t="shared" si="16"/>
        <v>10450</v>
      </c>
      <c r="V88" s="77">
        <f t="shared" si="17"/>
        <v>2.09</v>
      </c>
      <c r="W88" s="80">
        <v>0.05</v>
      </c>
      <c r="X88" s="65"/>
      <c r="Y88" s="51"/>
      <c r="Z88" s="65"/>
      <c r="AA88" s="50"/>
      <c r="AB88" s="50"/>
      <c r="AC88" s="50"/>
      <c r="AD88" s="50">
        <v>3831630646</v>
      </c>
      <c r="AE88" s="50"/>
      <c r="AF88" s="50"/>
    </row>
    <row r="89" spans="1:32" s="54" customFormat="1" ht="12" x14ac:dyDescent="0.2">
      <c r="A89" s="51" t="s">
        <v>402</v>
      </c>
      <c r="B89" s="50" t="s">
        <v>64</v>
      </c>
      <c r="C89" s="65" t="s">
        <v>210</v>
      </c>
      <c r="D89" s="51">
        <v>32</v>
      </c>
      <c r="E89" s="51">
        <v>1000</v>
      </c>
      <c r="F89" s="51">
        <v>350</v>
      </c>
      <c r="G89" s="51">
        <v>0</v>
      </c>
      <c r="H89" s="51">
        <v>1</v>
      </c>
      <c r="I89" s="51">
        <v>0</v>
      </c>
      <c r="J89" s="51">
        <v>15</v>
      </c>
      <c r="K89" s="51">
        <v>41</v>
      </c>
      <c r="L89" s="51">
        <v>55</v>
      </c>
      <c r="M89" s="51">
        <f t="shared" si="12"/>
        <v>41</v>
      </c>
      <c r="N89" s="88">
        <f t="shared" si="13"/>
        <v>43.733333333333334</v>
      </c>
      <c r="O89" s="89">
        <f t="shared" si="14"/>
        <v>87.466666666666669</v>
      </c>
      <c r="P89" s="87">
        <f>N89+E89</f>
        <v>1043.7333333333333</v>
      </c>
      <c r="Q89" s="52">
        <v>5000</v>
      </c>
      <c r="R89" s="52"/>
      <c r="S89" s="52"/>
      <c r="T89" s="69">
        <v>1.31</v>
      </c>
      <c r="U89" s="69">
        <f t="shared" si="16"/>
        <v>6800.0000000000009</v>
      </c>
      <c r="V89" s="77">
        <f t="shared" si="17"/>
        <v>1.36</v>
      </c>
      <c r="W89" s="80">
        <v>0.05</v>
      </c>
      <c r="X89" s="65"/>
      <c r="Y89" s="51"/>
      <c r="Z89" s="65"/>
      <c r="AA89" s="50"/>
      <c r="AB89" s="50"/>
      <c r="AC89" s="50"/>
      <c r="AD89" s="50">
        <v>3831630646</v>
      </c>
      <c r="AE89" s="50"/>
      <c r="AF89" s="50"/>
    </row>
    <row r="90" spans="1:32" s="54" customFormat="1" ht="12" x14ac:dyDescent="0.2">
      <c r="A90" s="51" t="s">
        <v>403</v>
      </c>
      <c r="B90" s="50" t="s">
        <v>68</v>
      </c>
      <c r="C90" s="65" t="s">
        <v>210</v>
      </c>
      <c r="D90" s="51">
        <v>32</v>
      </c>
      <c r="E90" s="51">
        <v>1000</v>
      </c>
      <c r="F90" s="51">
        <v>1000</v>
      </c>
      <c r="G90" s="51">
        <v>0</v>
      </c>
      <c r="H90" s="51">
        <v>4</v>
      </c>
      <c r="I90" s="51">
        <v>0</v>
      </c>
      <c r="J90" s="51">
        <v>15</v>
      </c>
      <c r="K90" s="51">
        <v>41</v>
      </c>
      <c r="L90" s="51">
        <v>55</v>
      </c>
      <c r="M90" s="51">
        <f t="shared" si="12"/>
        <v>164</v>
      </c>
      <c r="N90" s="88">
        <f t="shared" si="13"/>
        <v>174.93333333333334</v>
      </c>
      <c r="O90" s="89">
        <f t="shared" si="14"/>
        <v>349.86666666666667</v>
      </c>
      <c r="P90" s="87">
        <v>1177</v>
      </c>
      <c r="Q90" s="52">
        <v>5000</v>
      </c>
      <c r="R90" s="52"/>
      <c r="S90" s="52"/>
      <c r="T90" s="69">
        <v>0.9</v>
      </c>
      <c r="U90" s="69">
        <f t="shared" si="16"/>
        <v>4750</v>
      </c>
      <c r="V90" s="77">
        <f t="shared" si="17"/>
        <v>0.95000000000000007</v>
      </c>
      <c r="W90" s="80">
        <v>0.05</v>
      </c>
      <c r="X90" s="65"/>
      <c r="Y90" s="51"/>
      <c r="Z90" s="65"/>
      <c r="AA90" s="50"/>
      <c r="AB90" s="50"/>
      <c r="AC90" s="50"/>
      <c r="AD90" s="50">
        <v>3831630646</v>
      </c>
      <c r="AE90" s="50"/>
      <c r="AF90" s="50"/>
    </row>
    <row r="91" spans="1:32" s="54" customFormat="1" ht="12" x14ac:dyDescent="0.2">
      <c r="A91" s="51" t="s">
        <v>404</v>
      </c>
      <c r="B91" s="50" t="s">
        <v>83</v>
      </c>
      <c r="C91" s="65" t="s">
        <v>211</v>
      </c>
      <c r="D91" s="51">
        <v>60</v>
      </c>
      <c r="E91" s="51">
        <v>123</v>
      </c>
      <c r="F91" s="51">
        <v>200</v>
      </c>
      <c r="G91" s="51">
        <v>0</v>
      </c>
      <c r="H91" s="51">
        <v>1</v>
      </c>
      <c r="I91" s="51">
        <v>0</v>
      </c>
      <c r="J91" s="51">
        <v>15</v>
      </c>
      <c r="K91" s="51">
        <v>41</v>
      </c>
      <c r="L91" s="51">
        <v>55</v>
      </c>
      <c r="M91" s="51">
        <f t="shared" si="12"/>
        <v>41</v>
      </c>
      <c r="N91" s="88">
        <f t="shared" si="13"/>
        <v>82</v>
      </c>
      <c r="O91" s="89">
        <f t="shared" si="14"/>
        <v>164</v>
      </c>
      <c r="P91" s="87">
        <f t="shared" ref="P91:P114" si="19">N91+E91</f>
        <v>205</v>
      </c>
      <c r="Q91" s="52">
        <v>5000</v>
      </c>
      <c r="R91" s="52"/>
      <c r="S91" s="53"/>
      <c r="T91" s="69">
        <v>23.8</v>
      </c>
      <c r="U91" s="69">
        <f t="shared" si="16"/>
        <v>119250</v>
      </c>
      <c r="V91" s="77">
        <f t="shared" si="17"/>
        <v>23.85</v>
      </c>
      <c r="W91" s="80">
        <v>0.05</v>
      </c>
      <c r="X91" s="65"/>
      <c r="Y91" s="51"/>
      <c r="Z91" s="65"/>
      <c r="AA91" s="50"/>
      <c r="AB91" s="50"/>
      <c r="AC91" s="50"/>
      <c r="AD91" s="50">
        <v>3889868176</v>
      </c>
      <c r="AE91" s="50"/>
      <c r="AF91" s="50"/>
    </row>
    <row r="92" spans="1:32" s="54" customFormat="1" ht="12" x14ac:dyDescent="0.2">
      <c r="A92" s="51" t="s">
        <v>420</v>
      </c>
      <c r="B92" s="50" t="s">
        <v>84</v>
      </c>
      <c r="C92" s="65" t="s">
        <v>211</v>
      </c>
      <c r="D92" s="51">
        <v>60</v>
      </c>
      <c r="E92" s="51">
        <v>123</v>
      </c>
      <c r="F92" s="51">
        <v>200</v>
      </c>
      <c r="G92" s="51">
        <v>0</v>
      </c>
      <c r="H92" s="51">
        <v>1</v>
      </c>
      <c r="I92" s="51">
        <v>0</v>
      </c>
      <c r="J92" s="51">
        <v>15</v>
      </c>
      <c r="K92" s="51">
        <v>41</v>
      </c>
      <c r="L92" s="51">
        <v>55</v>
      </c>
      <c r="M92" s="51">
        <f t="shared" si="12"/>
        <v>41</v>
      </c>
      <c r="N92" s="88">
        <f t="shared" si="13"/>
        <v>82</v>
      </c>
      <c r="O92" s="89">
        <f t="shared" si="14"/>
        <v>164</v>
      </c>
      <c r="P92" s="87">
        <f t="shared" si="19"/>
        <v>205</v>
      </c>
      <c r="Q92" s="52">
        <v>5000</v>
      </c>
      <c r="R92" s="52"/>
      <c r="S92" s="53"/>
      <c r="T92" s="69">
        <v>23.8</v>
      </c>
      <c r="U92" s="69">
        <f t="shared" si="16"/>
        <v>119250</v>
      </c>
      <c r="V92" s="77">
        <f t="shared" si="17"/>
        <v>23.85</v>
      </c>
      <c r="W92" s="80">
        <v>0.05</v>
      </c>
      <c r="X92" s="65"/>
      <c r="Y92" s="51"/>
      <c r="Z92" s="65"/>
      <c r="AA92" s="50"/>
      <c r="AB92" s="50"/>
      <c r="AC92" s="50"/>
      <c r="AD92" s="50">
        <v>3889868176</v>
      </c>
      <c r="AE92" s="50"/>
      <c r="AF92" s="50"/>
    </row>
    <row r="93" spans="1:32" s="54" customFormat="1" ht="12" x14ac:dyDescent="0.2">
      <c r="A93" s="51" t="s">
        <v>419</v>
      </c>
      <c r="B93" s="50" t="s">
        <v>85</v>
      </c>
      <c r="C93" s="65" t="s">
        <v>211</v>
      </c>
      <c r="D93" s="51">
        <v>60</v>
      </c>
      <c r="E93" s="51">
        <v>123</v>
      </c>
      <c r="F93" s="51">
        <v>200</v>
      </c>
      <c r="G93" s="51">
        <v>0</v>
      </c>
      <c r="H93" s="51">
        <v>1</v>
      </c>
      <c r="I93" s="51">
        <v>0</v>
      </c>
      <c r="J93" s="51">
        <v>15</v>
      </c>
      <c r="K93" s="51">
        <v>41</v>
      </c>
      <c r="L93" s="51">
        <v>55</v>
      </c>
      <c r="M93" s="51">
        <f t="shared" si="12"/>
        <v>41</v>
      </c>
      <c r="N93" s="88">
        <f t="shared" si="13"/>
        <v>82</v>
      </c>
      <c r="O93" s="89">
        <f t="shared" si="14"/>
        <v>164</v>
      </c>
      <c r="P93" s="87">
        <f t="shared" si="19"/>
        <v>205</v>
      </c>
      <c r="Q93" s="52">
        <v>5000</v>
      </c>
      <c r="R93" s="52"/>
      <c r="S93" s="53"/>
      <c r="T93" s="69">
        <v>23.8</v>
      </c>
      <c r="U93" s="69">
        <f t="shared" si="16"/>
        <v>119250</v>
      </c>
      <c r="V93" s="77">
        <f t="shared" si="17"/>
        <v>23.85</v>
      </c>
      <c r="W93" s="80">
        <v>0.05</v>
      </c>
      <c r="X93" s="65"/>
      <c r="Y93" s="51"/>
      <c r="Z93" s="65"/>
      <c r="AA93" s="50"/>
      <c r="AB93" s="50"/>
      <c r="AC93" s="50"/>
      <c r="AD93" s="50">
        <v>3889868176</v>
      </c>
      <c r="AE93" s="50"/>
      <c r="AF93" s="50"/>
    </row>
    <row r="94" spans="1:32" s="54" customFormat="1" ht="12" x14ac:dyDescent="0.2">
      <c r="A94" s="51" t="s">
        <v>418</v>
      </c>
      <c r="B94" s="50" t="s">
        <v>95</v>
      </c>
      <c r="C94" s="65" t="s">
        <v>210</v>
      </c>
      <c r="D94" s="51">
        <v>32</v>
      </c>
      <c r="E94" s="51">
        <v>1000</v>
      </c>
      <c r="F94" s="51">
        <v>1000</v>
      </c>
      <c r="G94" s="51">
        <v>0</v>
      </c>
      <c r="H94" s="51">
        <v>1</v>
      </c>
      <c r="I94" s="51">
        <v>1</v>
      </c>
      <c r="J94" s="51">
        <v>15</v>
      </c>
      <c r="K94" s="51">
        <v>41</v>
      </c>
      <c r="L94" s="51">
        <v>55</v>
      </c>
      <c r="M94" s="51">
        <f t="shared" si="12"/>
        <v>96</v>
      </c>
      <c r="N94" s="88">
        <f t="shared" si="13"/>
        <v>102.4</v>
      </c>
      <c r="O94" s="89">
        <f t="shared" si="14"/>
        <v>204.8</v>
      </c>
      <c r="P94" s="87">
        <f t="shared" si="19"/>
        <v>1102.4000000000001</v>
      </c>
      <c r="Q94" s="52">
        <v>4992</v>
      </c>
      <c r="R94" s="52"/>
      <c r="S94" s="52"/>
      <c r="T94" s="69">
        <v>1.47</v>
      </c>
      <c r="U94" s="69">
        <f t="shared" si="16"/>
        <v>7587.84</v>
      </c>
      <c r="V94" s="77">
        <f t="shared" si="17"/>
        <v>1.52</v>
      </c>
      <c r="W94" s="80">
        <v>0.05</v>
      </c>
      <c r="X94" s="65"/>
      <c r="Y94" s="51"/>
      <c r="Z94" s="65"/>
      <c r="AA94" s="50"/>
      <c r="AB94" s="50"/>
      <c r="AC94" s="50"/>
      <c r="AD94" s="50">
        <v>3831630646</v>
      </c>
      <c r="AE94" s="50"/>
      <c r="AF94" s="50"/>
    </row>
    <row r="95" spans="1:32" s="54" customFormat="1" ht="12" x14ac:dyDescent="0.2">
      <c r="A95" s="51" t="s">
        <v>417</v>
      </c>
      <c r="B95" s="50" t="s">
        <v>79</v>
      </c>
      <c r="C95" s="65" t="s">
        <v>210</v>
      </c>
      <c r="D95" s="51">
        <v>32</v>
      </c>
      <c r="E95" s="51">
        <v>1000</v>
      </c>
      <c r="F95" s="51">
        <v>350</v>
      </c>
      <c r="G95" s="51">
        <v>0</v>
      </c>
      <c r="H95" s="51">
        <v>1</v>
      </c>
      <c r="I95" s="51">
        <v>0</v>
      </c>
      <c r="J95" s="51">
        <v>15</v>
      </c>
      <c r="K95" s="51">
        <v>41</v>
      </c>
      <c r="L95" s="51">
        <v>55</v>
      </c>
      <c r="M95" s="51">
        <f t="shared" ref="M95:M114" si="20">(G95*J95)+(H95*K95)+(I95*L95)</f>
        <v>41</v>
      </c>
      <c r="N95" s="88">
        <f t="shared" si="13"/>
        <v>43.733333333333334</v>
      </c>
      <c r="O95" s="89">
        <f t="shared" si="14"/>
        <v>87.466666666666669</v>
      </c>
      <c r="P95" s="87">
        <f t="shared" si="19"/>
        <v>1043.7333333333333</v>
      </c>
      <c r="Q95" s="52">
        <v>5000</v>
      </c>
      <c r="R95" s="52"/>
      <c r="S95" s="52"/>
      <c r="T95" s="69">
        <v>1.05</v>
      </c>
      <c r="U95" s="69">
        <f t="shared" si="16"/>
        <v>5500</v>
      </c>
      <c r="V95" s="77">
        <f t="shared" si="17"/>
        <v>1.1000000000000001</v>
      </c>
      <c r="W95" s="80">
        <v>0.05</v>
      </c>
      <c r="X95" s="65"/>
      <c r="Y95" s="51"/>
      <c r="Z95" s="65"/>
      <c r="AA95" s="50"/>
      <c r="AB95" s="50"/>
      <c r="AC95" s="50"/>
      <c r="AD95" s="50">
        <v>3831630646</v>
      </c>
      <c r="AE95" s="50"/>
      <c r="AF95" s="50"/>
    </row>
    <row r="96" spans="1:32" s="54" customFormat="1" ht="12" x14ac:dyDescent="0.2">
      <c r="A96" s="51" t="s">
        <v>416</v>
      </c>
      <c r="B96" s="50" t="s">
        <v>97</v>
      </c>
      <c r="C96" s="65" t="s">
        <v>210</v>
      </c>
      <c r="D96" s="51">
        <v>32</v>
      </c>
      <c r="E96" s="51">
        <v>1000</v>
      </c>
      <c r="F96" s="51">
        <v>1000</v>
      </c>
      <c r="G96" s="51">
        <v>0</v>
      </c>
      <c r="H96" s="51">
        <v>2</v>
      </c>
      <c r="I96" s="51">
        <v>2</v>
      </c>
      <c r="J96" s="51">
        <v>15</v>
      </c>
      <c r="K96" s="51">
        <v>41</v>
      </c>
      <c r="L96" s="51">
        <v>55</v>
      </c>
      <c r="M96" s="51">
        <f t="shared" si="20"/>
        <v>192</v>
      </c>
      <c r="N96" s="88">
        <f t="shared" si="13"/>
        <v>204.8</v>
      </c>
      <c r="O96" s="89">
        <f t="shared" si="14"/>
        <v>409.6</v>
      </c>
      <c r="P96" s="87">
        <f t="shared" si="19"/>
        <v>1204.8</v>
      </c>
      <c r="Q96" s="52">
        <v>4984</v>
      </c>
      <c r="R96" s="52"/>
      <c r="S96" s="52"/>
      <c r="T96" s="69">
        <v>0.9</v>
      </c>
      <c r="U96" s="69">
        <f t="shared" si="16"/>
        <v>4734.8</v>
      </c>
      <c r="V96" s="77">
        <f t="shared" si="17"/>
        <v>0.95000000000000007</v>
      </c>
      <c r="W96" s="80">
        <v>0.05</v>
      </c>
      <c r="X96" s="65"/>
      <c r="Y96" s="51"/>
      <c r="Z96" s="65"/>
      <c r="AA96" s="50"/>
      <c r="AB96" s="50"/>
      <c r="AC96" s="50"/>
      <c r="AD96" s="50">
        <v>3831630646</v>
      </c>
      <c r="AE96" s="50"/>
      <c r="AF96" s="50"/>
    </row>
    <row r="97" spans="1:32" s="54" customFormat="1" ht="12" x14ac:dyDescent="0.2">
      <c r="A97" s="51" t="s">
        <v>415</v>
      </c>
      <c r="B97" s="50" t="s">
        <v>98</v>
      </c>
      <c r="C97" s="65" t="s">
        <v>210</v>
      </c>
      <c r="D97" s="51">
        <v>32</v>
      </c>
      <c r="E97" s="51">
        <v>1000</v>
      </c>
      <c r="F97" s="51">
        <v>1000</v>
      </c>
      <c r="G97" s="51">
        <v>0</v>
      </c>
      <c r="H97" s="51">
        <v>2</v>
      </c>
      <c r="I97" s="51">
        <v>2</v>
      </c>
      <c r="J97" s="51">
        <v>15</v>
      </c>
      <c r="K97" s="51">
        <v>41</v>
      </c>
      <c r="L97" s="51">
        <v>55</v>
      </c>
      <c r="M97" s="51">
        <f t="shared" si="20"/>
        <v>192</v>
      </c>
      <c r="N97" s="88">
        <f t="shared" si="13"/>
        <v>204.8</v>
      </c>
      <c r="O97" s="89">
        <f t="shared" si="14"/>
        <v>409.6</v>
      </c>
      <c r="P97" s="87">
        <f t="shared" si="19"/>
        <v>1204.8</v>
      </c>
      <c r="Q97" s="52">
        <v>4984</v>
      </c>
      <c r="R97" s="52"/>
      <c r="S97" s="53"/>
      <c r="T97" s="69">
        <v>2.75</v>
      </c>
      <c r="U97" s="69">
        <f t="shared" si="16"/>
        <v>13955.199999999999</v>
      </c>
      <c r="V97" s="77">
        <f t="shared" si="17"/>
        <v>2.8</v>
      </c>
      <c r="W97" s="80">
        <v>0.05</v>
      </c>
      <c r="X97" s="65"/>
      <c r="Y97" s="51"/>
      <c r="Z97" s="65"/>
      <c r="AA97" s="50"/>
      <c r="AB97" s="50"/>
      <c r="AC97" s="50"/>
      <c r="AD97" s="50">
        <v>3831630646</v>
      </c>
      <c r="AE97" s="50"/>
      <c r="AF97" s="50"/>
    </row>
    <row r="98" spans="1:32" s="54" customFormat="1" ht="12" x14ac:dyDescent="0.2">
      <c r="A98" s="51" t="s">
        <v>414</v>
      </c>
      <c r="B98" s="50" t="s">
        <v>100</v>
      </c>
      <c r="C98" s="65" t="s">
        <v>210</v>
      </c>
      <c r="D98" s="51">
        <v>32</v>
      </c>
      <c r="E98" s="51">
        <v>1000</v>
      </c>
      <c r="F98" s="51">
        <v>1000</v>
      </c>
      <c r="G98" s="51">
        <v>0</v>
      </c>
      <c r="H98" s="51">
        <v>1</v>
      </c>
      <c r="I98" s="51">
        <v>1</v>
      </c>
      <c r="J98" s="51">
        <v>15</v>
      </c>
      <c r="K98" s="51">
        <v>41</v>
      </c>
      <c r="L98" s="51">
        <v>55</v>
      </c>
      <c r="M98" s="51">
        <f t="shared" si="20"/>
        <v>96</v>
      </c>
      <c r="N98" s="88">
        <f t="shared" si="13"/>
        <v>102.4</v>
      </c>
      <c r="O98" s="89">
        <f t="shared" si="14"/>
        <v>204.8</v>
      </c>
      <c r="P98" s="87">
        <f t="shared" si="19"/>
        <v>1102.4000000000001</v>
      </c>
      <c r="Q98" s="52">
        <v>4992</v>
      </c>
      <c r="R98" s="52"/>
      <c r="S98" s="52"/>
      <c r="T98" s="69">
        <v>1.73</v>
      </c>
      <c r="U98" s="69">
        <f t="shared" si="16"/>
        <v>8885.76</v>
      </c>
      <c r="V98" s="77">
        <f t="shared" si="17"/>
        <v>1.78</v>
      </c>
      <c r="W98" s="80">
        <v>0.05</v>
      </c>
      <c r="X98" s="65"/>
      <c r="Y98" s="51"/>
      <c r="Z98" s="65"/>
      <c r="AA98" s="50"/>
      <c r="AB98" s="50"/>
      <c r="AC98" s="50"/>
      <c r="AD98" s="50">
        <v>3831630646</v>
      </c>
      <c r="AE98" s="50"/>
      <c r="AF98" s="50"/>
    </row>
    <row r="99" spans="1:32" s="54" customFormat="1" ht="12" x14ac:dyDescent="0.2">
      <c r="A99" s="51" t="s">
        <v>413</v>
      </c>
      <c r="B99" s="50" t="s">
        <v>102</v>
      </c>
      <c r="C99" s="65" t="s">
        <v>210</v>
      </c>
      <c r="D99" s="51">
        <v>32</v>
      </c>
      <c r="E99" s="51">
        <v>1000</v>
      </c>
      <c r="F99" s="51">
        <v>1000</v>
      </c>
      <c r="G99" s="51">
        <v>0</v>
      </c>
      <c r="H99" s="51">
        <v>2</v>
      </c>
      <c r="I99" s="51">
        <v>2</v>
      </c>
      <c r="J99" s="51">
        <v>15</v>
      </c>
      <c r="K99" s="51">
        <v>41</v>
      </c>
      <c r="L99" s="51">
        <v>55</v>
      </c>
      <c r="M99" s="51">
        <f t="shared" si="20"/>
        <v>192</v>
      </c>
      <c r="N99" s="88">
        <f t="shared" si="13"/>
        <v>204.8</v>
      </c>
      <c r="O99" s="89">
        <f t="shared" si="14"/>
        <v>409.6</v>
      </c>
      <c r="P99" s="87">
        <f t="shared" si="19"/>
        <v>1204.8</v>
      </c>
      <c r="Q99" s="52">
        <v>4984</v>
      </c>
      <c r="R99" s="52"/>
      <c r="S99" s="52"/>
      <c r="T99" s="69">
        <v>0.45</v>
      </c>
      <c r="U99" s="69">
        <f t="shared" si="16"/>
        <v>2492</v>
      </c>
      <c r="V99" s="77">
        <f t="shared" si="17"/>
        <v>0.5</v>
      </c>
      <c r="W99" s="80">
        <v>0.05</v>
      </c>
      <c r="X99" s="65"/>
      <c r="Y99" s="51"/>
      <c r="Z99" s="65"/>
      <c r="AA99" s="50"/>
      <c r="AB99" s="50"/>
      <c r="AC99" s="50"/>
      <c r="AD99" s="50">
        <v>3831630646</v>
      </c>
      <c r="AE99" s="50"/>
      <c r="AF99" s="50"/>
    </row>
    <row r="100" spans="1:32" s="54" customFormat="1" ht="12" x14ac:dyDescent="0.2">
      <c r="A100" s="51" t="s">
        <v>412</v>
      </c>
      <c r="B100" s="50" t="s">
        <v>92</v>
      </c>
      <c r="C100" s="65" t="s">
        <v>210</v>
      </c>
      <c r="D100" s="51">
        <v>32</v>
      </c>
      <c r="E100" s="51">
        <v>1000</v>
      </c>
      <c r="F100" s="51">
        <v>500</v>
      </c>
      <c r="G100" s="51">
        <v>0</v>
      </c>
      <c r="H100" s="51">
        <v>2</v>
      </c>
      <c r="I100" s="51">
        <v>0</v>
      </c>
      <c r="J100" s="51">
        <v>15</v>
      </c>
      <c r="K100" s="51">
        <v>41</v>
      </c>
      <c r="L100" s="51">
        <v>55</v>
      </c>
      <c r="M100" s="51">
        <f t="shared" si="20"/>
        <v>82</v>
      </c>
      <c r="N100" s="88">
        <f t="shared" si="13"/>
        <v>87.466666666666669</v>
      </c>
      <c r="O100" s="89">
        <f t="shared" si="14"/>
        <v>174.93333333333334</v>
      </c>
      <c r="P100" s="87">
        <f t="shared" si="19"/>
        <v>1087.4666666666667</v>
      </c>
      <c r="Q100" s="52">
        <v>5000</v>
      </c>
      <c r="R100" s="52"/>
      <c r="S100" s="52"/>
      <c r="T100" s="69">
        <v>0.57999999999999996</v>
      </c>
      <c r="U100" s="69">
        <f t="shared" si="16"/>
        <v>3150</v>
      </c>
      <c r="V100" s="77">
        <f t="shared" si="17"/>
        <v>0.63</v>
      </c>
      <c r="W100" s="80">
        <v>0.05</v>
      </c>
      <c r="X100" s="65"/>
      <c r="Y100" s="51"/>
      <c r="Z100" s="65"/>
      <c r="AA100" s="50"/>
      <c r="AB100" s="50"/>
      <c r="AC100" s="50"/>
      <c r="AD100" s="50">
        <v>3831630646</v>
      </c>
      <c r="AE100" s="50"/>
      <c r="AF100" s="50"/>
    </row>
    <row r="101" spans="1:32" s="54" customFormat="1" ht="12" x14ac:dyDescent="0.2">
      <c r="A101" s="51" t="s">
        <v>411</v>
      </c>
      <c r="B101" s="50" t="s">
        <v>316</v>
      </c>
      <c r="C101" s="65" t="s">
        <v>210</v>
      </c>
      <c r="D101" s="51">
        <v>32</v>
      </c>
      <c r="E101" s="51">
        <v>1000</v>
      </c>
      <c r="F101" s="51">
        <v>350</v>
      </c>
      <c r="G101" s="51">
        <v>0</v>
      </c>
      <c r="H101" s="51">
        <v>1</v>
      </c>
      <c r="I101" s="51">
        <v>0</v>
      </c>
      <c r="J101" s="51">
        <v>15</v>
      </c>
      <c r="K101" s="51">
        <v>41</v>
      </c>
      <c r="L101" s="51">
        <v>55</v>
      </c>
      <c r="M101" s="51">
        <f t="shared" si="20"/>
        <v>41</v>
      </c>
      <c r="N101" s="88">
        <f t="shared" si="13"/>
        <v>43.733333333333334</v>
      </c>
      <c r="O101" s="89">
        <f t="shared" si="14"/>
        <v>87.466666666666669</v>
      </c>
      <c r="P101" s="87">
        <f t="shared" si="19"/>
        <v>1043.7333333333333</v>
      </c>
      <c r="Q101" s="52">
        <v>5000</v>
      </c>
      <c r="R101" s="52"/>
      <c r="S101" s="52"/>
      <c r="T101" s="69">
        <v>1.75</v>
      </c>
      <c r="U101" s="69">
        <f t="shared" si="16"/>
        <v>9000</v>
      </c>
      <c r="V101" s="77">
        <f t="shared" si="17"/>
        <v>1.8</v>
      </c>
      <c r="W101" s="80">
        <v>0.05</v>
      </c>
      <c r="X101" s="65"/>
      <c r="Y101" s="51"/>
      <c r="Z101" s="65"/>
      <c r="AA101" s="50"/>
      <c r="AB101" s="50"/>
      <c r="AC101" s="50"/>
      <c r="AD101" s="50">
        <v>3831630646</v>
      </c>
      <c r="AE101" s="50"/>
      <c r="AF101" s="50"/>
    </row>
    <row r="102" spans="1:32" s="54" customFormat="1" ht="12" x14ac:dyDescent="0.2">
      <c r="A102" s="51" t="s">
        <v>410</v>
      </c>
      <c r="B102" s="50" t="s">
        <v>80</v>
      </c>
      <c r="C102" s="65" t="s">
        <v>210</v>
      </c>
      <c r="D102" s="51">
        <v>32</v>
      </c>
      <c r="E102" s="51">
        <v>1000</v>
      </c>
      <c r="F102" s="51">
        <v>1000</v>
      </c>
      <c r="G102" s="51">
        <v>0</v>
      </c>
      <c r="H102" s="51">
        <v>2</v>
      </c>
      <c r="I102" s="51">
        <v>2</v>
      </c>
      <c r="J102" s="51">
        <v>15</v>
      </c>
      <c r="K102" s="51">
        <v>41</v>
      </c>
      <c r="L102" s="51">
        <v>55</v>
      </c>
      <c r="M102" s="51">
        <f t="shared" si="20"/>
        <v>192</v>
      </c>
      <c r="N102" s="88">
        <f t="shared" si="13"/>
        <v>204.8</v>
      </c>
      <c r="O102" s="89">
        <f t="shared" si="14"/>
        <v>409.6</v>
      </c>
      <c r="P102" s="87">
        <f t="shared" si="19"/>
        <v>1204.8</v>
      </c>
      <c r="Q102" s="52">
        <v>4984</v>
      </c>
      <c r="R102" s="52"/>
      <c r="S102" s="52"/>
      <c r="T102" s="69">
        <v>0.55000000000000004</v>
      </c>
      <c r="U102" s="69">
        <f t="shared" si="16"/>
        <v>2990.4000000000005</v>
      </c>
      <c r="V102" s="77">
        <f t="shared" si="17"/>
        <v>0.60000000000000009</v>
      </c>
      <c r="W102" s="80">
        <v>0.05</v>
      </c>
      <c r="X102" s="65"/>
      <c r="Y102" s="51"/>
      <c r="Z102" s="65"/>
      <c r="AA102" s="50"/>
      <c r="AB102" s="50"/>
      <c r="AC102" s="50"/>
      <c r="AD102" s="50">
        <v>3831630646</v>
      </c>
      <c r="AE102" s="50"/>
      <c r="AF102" s="50"/>
    </row>
    <row r="103" spans="1:32" s="54" customFormat="1" ht="12" x14ac:dyDescent="0.2">
      <c r="A103" s="51" t="s">
        <v>409</v>
      </c>
      <c r="B103" s="50" t="s">
        <v>75</v>
      </c>
      <c r="C103" s="65" t="s">
        <v>210</v>
      </c>
      <c r="D103" s="51">
        <v>32</v>
      </c>
      <c r="E103" s="51">
        <v>1000</v>
      </c>
      <c r="F103" s="51">
        <v>1000</v>
      </c>
      <c r="G103" s="51">
        <v>4</v>
      </c>
      <c r="H103" s="51">
        <v>2</v>
      </c>
      <c r="I103" s="51">
        <v>2</v>
      </c>
      <c r="J103" s="51">
        <v>15</v>
      </c>
      <c r="K103" s="51">
        <v>41</v>
      </c>
      <c r="L103" s="51">
        <v>55</v>
      </c>
      <c r="M103" s="51">
        <f t="shared" si="20"/>
        <v>252</v>
      </c>
      <c r="N103" s="88">
        <f t="shared" si="13"/>
        <v>268.8</v>
      </c>
      <c r="O103" s="89">
        <f t="shared" si="14"/>
        <v>537.6</v>
      </c>
      <c r="P103" s="87">
        <f t="shared" si="19"/>
        <v>1268.8</v>
      </c>
      <c r="Q103" s="52">
        <v>4984</v>
      </c>
      <c r="R103" s="52"/>
      <c r="S103" s="52"/>
      <c r="T103" s="69">
        <v>0.69</v>
      </c>
      <c r="U103" s="69">
        <f t="shared" si="16"/>
        <v>3688.16</v>
      </c>
      <c r="V103" s="77">
        <f t="shared" si="17"/>
        <v>0.74</v>
      </c>
      <c r="W103" s="80">
        <v>0.05</v>
      </c>
      <c r="X103" s="65"/>
      <c r="Y103" s="51"/>
      <c r="Z103" s="65"/>
      <c r="AA103" s="50"/>
      <c r="AB103" s="50"/>
      <c r="AC103" s="50"/>
      <c r="AD103" s="50">
        <v>3831630646</v>
      </c>
      <c r="AE103" s="50"/>
      <c r="AF103" s="50"/>
    </row>
    <row r="104" spans="1:32" s="54" customFormat="1" ht="12" x14ac:dyDescent="0.2">
      <c r="A104" s="51" t="s">
        <v>408</v>
      </c>
      <c r="B104" s="50" t="s">
        <v>214</v>
      </c>
      <c r="C104" s="65" t="s">
        <v>212</v>
      </c>
      <c r="D104" s="51">
        <v>56</v>
      </c>
      <c r="E104" s="51">
        <v>80</v>
      </c>
      <c r="F104" s="51">
        <v>50</v>
      </c>
      <c r="G104" s="51">
        <v>1</v>
      </c>
      <c r="H104" s="51">
        <v>0</v>
      </c>
      <c r="I104" s="51">
        <v>0</v>
      </c>
      <c r="J104" s="51">
        <v>15</v>
      </c>
      <c r="K104" s="51">
        <v>41</v>
      </c>
      <c r="L104" s="51">
        <v>55</v>
      </c>
      <c r="M104" s="51">
        <f t="shared" si="20"/>
        <v>15</v>
      </c>
      <c r="N104" s="88">
        <f t="shared" si="13"/>
        <v>28</v>
      </c>
      <c r="O104" s="89">
        <f t="shared" si="14"/>
        <v>56</v>
      </c>
      <c r="P104" s="87">
        <f t="shared" si="19"/>
        <v>108</v>
      </c>
      <c r="Q104" s="52">
        <v>5000</v>
      </c>
      <c r="R104" s="52"/>
      <c r="S104" s="52"/>
      <c r="T104" s="69">
        <v>110</v>
      </c>
      <c r="U104" s="69">
        <f t="shared" si="16"/>
        <v>550250</v>
      </c>
      <c r="V104" s="77">
        <f t="shared" si="17"/>
        <v>110.05</v>
      </c>
      <c r="W104" s="80">
        <v>0.05</v>
      </c>
      <c r="X104" s="65"/>
      <c r="Y104" s="51"/>
      <c r="Z104" s="65"/>
      <c r="AA104" s="50"/>
      <c r="AB104" s="50"/>
      <c r="AC104" s="50"/>
      <c r="AD104" s="50">
        <v>2204408879</v>
      </c>
      <c r="AE104" s="50"/>
      <c r="AF104" s="50"/>
    </row>
    <row r="105" spans="1:32" s="54" customFormat="1" ht="12" x14ac:dyDescent="0.2">
      <c r="A105" s="51" t="s">
        <v>407</v>
      </c>
      <c r="B105" s="50" t="s">
        <v>56</v>
      </c>
      <c r="C105" s="65" t="s">
        <v>210</v>
      </c>
      <c r="D105" s="51">
        <v>32</v>
      </c>
      <c r="E105" s="51">
        <v>1000</v>
      </c>
      <c r="F105" s="51">
        <v>350</v>
      </c>
      <c r="G105" s="51">
        <v>4</v>
      </c>
      <c r="H105" s="51">
        <v>0</v>
      </c>
      <c r="I105" s="51">
        <v>0</v>
      </c>
      <c r="J105" s="51">
        <v>15</v>
      </c>
      <c r="K105" s="51">
        <v>41</v>
      </c>
      <c r="L105" s="51">
        <v>55</v>
      </c>
      <c r="M105" s="51">
        <f t="shared" si="20"/>
        <v>60</v>
      </c>
      <c r="N105" s="88">
        <f t="shared" si="13"/>
        <v>64</v>
      </c>
      <c r="O105" s="89">
        <f t="shared" si="14"/>
        <v>128</v>
      </c>
      <c r="P105" s="87">
        <f t="shared" si="19"/>
        <v>1064</v>
      </c>
      <c r="Q105" s="52">
        <v>5000</v>
      </c>
      <c r="R105" s="52"/>
      <c r="S105" s="52"/>
      <c r="T105" s="69">
        <v>1.5</v>
      </c>
      <c r="U105" s="69">
        <f t="shared" si="16"/>
        <v>7750</v>
      </c>
      <c r="V105" s="77">
        <f t="shared" si="17"/>
        <v>1.55</v>
      </c>
      <c r="W105" s="80">
        <v>0.05</v>
      </c>
      <c r="X105" s="65"/>
      <c r="Y105" s="51"/>
      <c r="Z105" s="65"/>
      <c r="AA105" s="50"/>
      <c r="AB105" s="50"/>
      <c r="AC105" s="50"/>
      <c r="AD105" s="50">
        <v>3831630646</v>
      </c>
      <c r="AE105" s="50"/>
      <c r="AF105" s="50"/>
    </row>
    <row r="106" spans="1:32" s="54" customFormat="1" ht="12" x14ac:dyDescent="0.2">
      <c r="A106" s="51" t="s">
        <v>406</v>
      </c>
      <c r="B106" s="50" t="s">
        <v>58</v>
      </c>
      <c r="C106" s="65" t="s">
        <v>210</v>
      </c>
      <c r="D106" s="51">
        <v>32</v>
      </c>
      <c r="E106" s="51">
        <v>1000</v>
      </c>
      <c r="F106" s="51">
        <v>100</v>
      </c>
      <c r="G106" s="51">
        <v>2</v>
      </c>
      <c r="H106" s="51">
        <v>0</v>
      </c>
      <c r="I106" s="51">
        <v>0</v>
      </c>
      <c r="J106" s="51">
        <v>15</v>
      </c>
      <c r="K106" s="51">
        <v>41</v>
      </c>
      <c r="L106" s="51">
        <v>55</v>
      </c>
      <c r="M106" s="51">
        <f t="shared" si="20"/>
        <v>30</v>
      </c>
      <c r="N106" s="88">
        <f t="shared" si="13"/>
        <v>32</v>
      </c>
      <c r="O106" s="89">
        <f t="shared" si="14"/>
        <v>64</v>
      </c>
      <c r="P106" s="87">
        <f t="shared" si="19"/>
        <v>1032</v>
      </c>
      <c r="Q106" s="52">
        <v>5000</v>
      </c>
      <c r="R106" s="52"/>
      <c r="S106" s="52"/>
      <c r="T106" s="69">
        <v>1.1000000000000001</v>
      </c>
      <c r="U106" s="69">
        <f t="shared" si="16"/>
        <v>5750.0000000000009</v>
      </c>
      <c r="V106" s="77">
        <f t="shared" si="17"/>
        <v>1.1500000000000001</v>
      </c>
      <c r="W106" s="80">
        <v>0.05</v>
      </c>
      <c r="X106" s="65"/>
      <c r="Y106" s="51"/>
      <c r="Z106" s="65"/>
      <c r="AA106" s="50"/>
      <c r="AB106" s="50"/>
      <c r="AC106" s="50"/>
      <c r="AD106" s="50">
        <v>3831630646</v>
      </c>
      <c r="AE106" s="50"/>
      <c r="AF106" s="50"/>
    </row>
    <row r="107" spans="1:32" s="54" customFormat="1" ht="12" x14ac:dyDescent="0.2">
      <c r="A107" s="51" t="s">
        <v>405</v>
      </c>
      <c r="B107" s="50" t="s">
        <v>71</v>
      </c>
      <c r="C107" s="65" t="s">
        <v>210</v>
      </c>
      <c r="D107" s="51">
        <v>32</v>
      </c>
      <c r="E107" s="51">
        <v>1000</v>
      </c>
      <c r="F107" s="51">
        <v>350</v>
      </c>
      <c r="G107" s="51">
        <v>1</v>
      </c>
      <c r="H107" s="51">
        <v>0</v>
      </c>
      <c r="I107" s="51">
        <v>0</v>
      </c>
      <c r="J107" s="51">
        <v>15</v>
      </c>
      <c r="K107" s="51">
        <v>41</v>
      </c>
      <c r="L107" s="51">
        <v>55</v>
      </c>
      <c r="M107" s="51">
        <f t="shared" si="20"/>
        <v>15</v>
      </c>
      <c r="N107" s="88">
        <f t="shared" si="13"/>
        <v>16</v>
      </c>
      <c r="O107" s="89">
        <f t="shared" si="14"/>
        <v>32</v>
      </c>
      <c r="P107" s="87">
        <f t="shared" si="19"/>
        <v>1016</v>
      </c>
      <c r="Q107" s="52">
        <v>5000</v>
      </c>
      <c r="R107" s="52"/>
      <c r="S107" s="52"/>
      <c r="T107" s="69">
        <v>1.3</v>
      </c>
      <c r="U107" s="69">
        <f t="shared" si="16"/>
        <v>6750</v>
      </c>
      <c r="V107" s="77">
        <f t="shared" si="17"/>
        <v>1.35</v>
      </c>
      <c r="W107" s="80">
        <v>0.05</v>
      </c>
      <c r="X107" s="65"/>
      <c r="Y107" s="51"/>
      <c r="Z107" s="65"/>
      <c r="AA107" s="50"/>
      <c r="AB107" s="50"/>
      <c r="AC107" s="50"/>
      <c r="AD107" s="50">
        <v>3831630646</v>
      </c>
      <c r="AE107" s="50"/>
      <c r="AF107" s="50"/>
    </row>
    <row r="108" spans="1:32" s="54" customFormat="1" ht="12" x14ac:dyDescent="0.2">
      <c r="A108" s="51" t="s">
        <v>421</v>
      </c>
      <c r="B108" s="50" t="s">
        <v>51</v>
      </c>
      <c r="C108" s="65" t="s">
        <v>223</v>
      </c>
      <c r="D108" s="51">
        <v>20</v>
      </c>
      <c r="E108" s="51">
        <v>500</v>
      </c>
      <c r="F108" s="51">
        <v>500</v>
      </c>
      <c r="G108" s="51">
        <v>0</v>
      </c>
      <c r="H108" s="51">
        <v>2</v>
      </c>
      <c r="I108" s="51">
        <v>2</v>
      </c>
      <c r="J108" s="51">
        <v>15</v>
      </c>
      <c r="K108" s="51">
        <v>41</v>
      </c>
      <c r="L108" s="51">
        <v>55</v>
      </c>
      <c r="M108" s="51">
        <f t="shared" si="20"/>
        <v>192</v>
      </c>
      <c r="N108" s="88">
        <f t="shared" si="13"/>
        <v>128</v>
      </c>
      <c r="O108" s="89">
        <f>N108+(D108/30)*M108</f>
        <v>256</v>
      </c>
      <c r="P108" s="87">
        <f t="shared" si="19"/>
        <v>628</v>
      </c>
      <c r="Q108" s="52">
        <v>4984</v>
      </c>
      <c r="R108" s="52"/>
      <c r="S108" s="53"/>
      <c r="T108" s="71">
        <v>8.65</v>
      </c>
      <c r="U108" s="71">
        <f>(T108*Q108)</f>
        <v>43111.6</v>
      </c>
      <c r="V108" s="50"/>
      <c r="W108" s="51"/>
      <c r="X108" s="65"/>
      <c r="Y108" s="51"/>
      <c r="Z108" s="65"/>
      <c r="AA108" s="50"/>
      <c r="AB108" s="50"/>
      <c r="AC108" s="50"/>
      <c r="AD108" s="50">
        <v>2206329792</v>
      </c>
      <c r="AE108" s="50"/>
      <c r="AF108" s="50"/>
    </row>
    <row r="109" spans="1:32" s="54" customFormat="1" ht="12" x14ac:dyDescent="0.2">
      <c r="A109" s="51" t="s">
        <v>422</v>
      </c>
      <c r="B109" s="50" t="s">
        <v>74</v>
      </c>
      <c r="C109" s="65" t="s">
        <v>224</v>
      </c>
      <c r="D109" s="51">
        <v>30</v>
      </c>
      <c r="E109" s="51">
        <v>1000</v>
      </c>
      <c r="F109" s="51">
        <v>100</v>
      </c>
      <c r="G109" s="51">
        <v>1</v>
      </c>
      <c r="H109" s="51">
        <v>0</v>
      </c>
      <c r="I109" s="51">
        <v>0</v>
      </c>
      <c r="J109" s="51">
        <v>15</v>
      </c>
      <c r="K109" s="51">
        <v>41</v>
      </c>
      <c r="L109" s="51">
        <v>55</v>
      </c>
      <c r="M109" s="51">
        <f t="shared" si="20"/>
        <v>15</v>
      </c>
      <c r="N109" s="88">
        <f t="shared" si="13"/>
        <v>15</v>
      </c>
      <c r="O109" s="89">
        <f>N109+(D109/30)*M109</f>
        <v>30</v>
      </c>
      <c r="P109" s="87">
        <f t="shared" si="19"/>
        <v>1015</v>
      </c>
      <c r="Q109" s="52">
        <v>5000</v>
      </c>
      <c r="R109" s="52"/>
      <c r="S109" s="52"/>
      <c r="T109" s="71">
        <v>2.2999999999999998</v>
      </c>
      <c r="U109" s="71">
        <f t="shared" ref="U109:U140" si="21">T109*Q109</f>
        <v>11500</v>
      </c>
      <c r="V109" s="50"/>
      <c r="W109" s="51"/>
      <c r="X109" s="65"/>
      <c r="Y109" s="51"/>
      <c r="Z109" s="65"/>
      <c r="AA109" s="50"/>
      <c r="AB109" s="50"/>
      <c r="AC109" s="50"/>
      <c r="AD109" s="50">
        <v>4155652517</v>
      </c>
      <c r="AE109" s="50"/>
      <c r="AF109" s="50"/>
    </row>
    <row r="110" spans="1:32" s="54" customFormat="1" ht="12" x14ac:dyDescent="0.2">
      <c r="A110" s="51" t="s">
        <v>423</v>
      </c>
      <c r="B110" s="50" t="s">
        <v>17</v>
      </c>
      <c r="C110" s="65" t="s">
        <v>224</v>
      </c>
      <c r="D110" s="51">
        <v>30</v>
      </c>
      <c r="E110" s="51">
        <v>1000</v>
      </c>
      <c r="F110" s="51">
        <v>500</v>
      </c>
      <c r="G110" s="51">
        <v>0</v>
      </c>
      <c r="H110" s="51">
        <v>1</v>
      </c>
      <c r="I110" s="51">
        <v>1</v>
      </c>
      <c r="J110" s="51">
        <v>15</v>
      </c>
      <c r="K110" s="51">
        <v>41</v>
      </c>
      <c r="L110" s="51">
        <v>55</v>
      </c>
      <c r="M110" s="51">
        <f t="shared" si="20"/>
        <v>96</v>
      </c>
      <c r="N110" s="88">
        <f t="shared" si="13"/>
        <v>96</v>
      </c>
      <c r="O110" s="89">
        <f>N110+(D110/30)*M110</f>
        <v>192</v>
      </c>
      <c r="P110" s="87">
        <f t="shared" si="19"/>
        <v>1096</v>
      </c>
      <c r="Q110" s="52">
        <v>4992</v>
      </c>
      <c r="R110" s="52"/>
      <c r="S110" s="52"/>
      <c r="T110" s="71">
        <v>1.21</v>
      </c>
      <c r="U110" s="71">
        <f t="shared" si="21"/>
        <v>6040.32</v>
      </c>
      <c r="V110" s="50"/>
      <c r="W110" s="51"/>
      <c r="X110" s="65"/>
      <c r="Y110" s="51"/>
      <c r="Z110" s="65"/>
      <c r="AA110" s="50"/>
      <c r="AB110" s="50"/>
      <c r="AC110" s="50"/>
      <c r="AD110" s="50">
        <v>4155652517</v>
      </c>
      <c r="AE110" s="50"/>
      <c r="AF110" s="50"/>
    </row>
    <row r="111" spans="1:32" s="54" customFormat="1" ht="12" x14ac:dyDescent="0.2">
      <c r="A111" s="51" t="s">
        <v>424</v>
      </c>
      <c r="B111" s="50" t="s">
        <v>82</v>
      </c>
      <c r="C111" s="65" t="s">
        <v>225</v>
      </c>
      <c r="D111" s="51">
        <v>35</v>
      </c>
      <c r="E111" s="51">
        <v>40</v>
      </c>
      <c r="F111" s="51">
        <v>100</v>
      </c>
      <c r="G111" s="51">
        <v>0</v>
      </c>
      <c r="H111" s="51">
        <v>0</v>
      </c>
      <c r="I111" s="51">
        <v>1</v>
      </c>
      <c r="J111" s="51">
        <v>15</v>
      </c>
      <c r="K111" s="51">
        <v>41</v>
      </c>
      <c r="L111" s="51">
        <v>55</v>
      </c>
      <c r="M111" s="51">
        <f t="shared" si="20"/>
        <v>55</v>
      </c>
      <c r="N111" s="88">
        <f>((D111/30)*M111)*0.8</f>
        <v>51.333333333333343</v>
      </c>
      <c r="O111" s="89">
        <f>(N111+(D111/30)*M111)*0.8</f>
        <v>92.40000000000002</v>
      </c>
      <c r="P111" s="87">
        <f t="shared" si="19"/>
        <v>91.333333333333343</v>
      </c>
      <c r="Q111" s="52">
        <v>4992</v>
      </c>
      <c r="R111" s="56"/>
      <c r="S111" s="56"/>
      <c r="T111" s="71">
        <v>278</v>
      </c>
      <c r="U111" s="71">
        <f t="shared" si="21"/>
        <v>1387776</v>
      </c>
      <c r="V111" s="50"/>
      <c r="W111" s="51"/>
      <c r="X111" s="65"/>
      <c r="Y111" s="51"/>
      <c r="Z111" s="65"/>
      <c r="AA111" s="50"/>
      <c r="AB111" s="50"/>
      <c r="AC111" s="50"/>
      <c r="AD111" s="50">
        <v>2204408493</v>
      </c>
      <c r="AE111" s="50"/>
      <c r="AF111" s="50"/>
    </row>
    <row r="112" spans="1:32" s="54" customFormat="1" ht="12" x14ac:dyDescent="0.2">
      <c r="A112" s="51" t="s">
        <v>425</v>
      </c>
      <c r="B112" s="50" t="s">
        <v>87</v>
      </c>
      <c r="C112" s="65" t="s">
        <v>103</v>
      </c>
      <c r="D112" s="51">
        <v>45</v>
      </c>
      <c r="E112" s="51">
        <v>200</v>
      </c>
      <c r="F112" s="51">
        <v>200</v>
      </c>
      <c r="G112" s="51">
        <v>0</v>
      </c>
      <c r="H112" s="51">
        <v>0</v>
      </c>
      <c r="I112" s="51">
        <v>1</v>
      </c>
      <c r="J112" s="51">
        <v>15</v>
      </c>
      <c r="K112" s="51">
        <v>41</v>
      </c>
      <c r="L112" s="51">
        <v>55</v>
      </c>
      <c r="M112" s="51">
        <f t="shared" si="20"/>
        <v>55</v>
      </c>
      <c r="N112" s="88">
        <f>(D112/30)*M112</f>
        <v>82.5</v>
      </c>
      <c r="O112" s="89">
        <f>N112+(D112/30)*M112</f>
        <v>165</v>
      </c>
      <c r="P112" s="87">
        <f t="shared" si="19"/>
        <v>282.5</v>
      </c>
      <c r="Q112" s="52">
        <v>4992</v>
      </c>
      <c r="R112" s="52"/>
      <c r="S112" s="53"/>
      <c r="T112" s="71">
        <v>15.6</v>
      </c>
      <c r="U112" s="71">
        <f t="shared" si="21"/>
        <v>77875.199999999997</v>
      </c>
      <c r="V112" s="50"/>
      <c r="W112" s="51"/>
      <c r="X112" s="65"/>
      <c r="Y112" s="51"/>
      <c r="Z112" s="65"/>
      <c r="AA112" s="50"/>
      <c r="AB112" s="50"/>
      <c r="AC112" s="50"/>
      <c r="AD112" s="50">
        <v>2204408683</v>
      </c>
      <c r="AE112" s="50"/>
      <c r="AF112" s="50"/>
    </row>
    <row r="113" spans="1:32" s="54" customFormat="1" ht="12" x14ac:dyDescent="0.2">
      <c r="A113" s="51" t="s">
        <v>426</v>
      </c>
      <c r="B113" s="50" t="s">
        <v>12</v>
      </c>
      <c r="C113" s="65" t="s">
        <v>224</v>
      </c>
      <c r="D113" s="51">
        <v>30</v>
      </c>
      <c r="E113" s="51">
        <v>1000</v>
      </c>
      <c r="F113" s="51">
        <v>1000</v>
      </c>
      <c r="G113" s="51">
        <v>0</v>
      </c>
      <c r="H113" s="51">
        <v>3</v>
      </c>
      <c r="I113" s="51">
        <v>3</v>
      </c>
      <c r="J113" s="51">
        <v>15</v>
      </c>
      <c r="K113" s="51">
        <v>41</v>
      </c>
      <c r="L113" s="51">
        <v>55</v>
      </c>
      <c r="M113" s="51">
        <f t="shared" si="20"/>
        <v>288</v>
      </c>
      <c r="N113" s="88">
        <f>(D113/30)*M113</f>
        <v>288</v>
      </c>
      <c r="O113" s="89">
        <f>N113+(D113/30)*M113</f>
        <v>576</v>
      </c>
      <c r="P113" s="87">
        <f t="shared" si="19"/>
        <v>1288</v>
      </c>
      <c r="Q113" s="52">
        <v>4976</v>
      </c>
      <c r="R113" s="52"/>
      <c r="S113" s="52"/>
      <c r="T113" s="71">
        <v>0.9</v>
      </c>
      <c r="U113" s="71">
        <f t="shared" si="21"/>
        <v>4478.4000000000005</v>
      </c>
      <c r="V113" s="50"/>
      <c r="W113" s="51"/>
      <c r="X113" s="65"/>
      <c r="Y113" s="51"/>
      <c r="Z113" s="65"/>
      <c r="AA113" s="50"/>
      <c r="AB113" s="50"/>
      <c r="AC113" s="50"/>
      <c r="AD113" s="50">
        <v>4155652517</v>
      </c>
      <c r="AE113" s="50"/>
      <c r="AF113" s="50"/>
    </row>
    <row r="114" spans="1:32" s="54" customFormat="1" ht="12" x14ac:dyDescent="0.2">
      <c r="A114" s="51" t="s">
        <v>427</v>
      </c>
      <c r="B114" s="50" t="s">
        <v>76</v>
      </c>
      <c r="C114" s="65" t="s">
        <v>103</v>
      </c>
      <c r="D114" s="51">
        <v>45</v>
      </c>
      <c r="E114" s="51">
        <v>200</v>
      </c>
      <c r="F114" s="51">
        <v>400</v>
      </c>
      <c r="G114" s="51">
        <v>0</v>
      </c>
      <c r="H114" s="51">
        <v>1</v>
      </c>
      <c r="I114" s="51">
        <v>1</v>
      </c>
      <c r="J114" s="51">
        <v>15</v>
      </c>
      <c r="K114" s="51">
        <v>41</v>
      </c>
      <c r="L114" s="51">
        <v>55</v>
      </c>
      <c r="M114" s="51">
        <f t="shared" si="20"/>
        <v>96</v>
      </c>
      <c r="N114" s="88">
        <f>(D114/30)*M114</f>
        <v>144</v>
      </c>
      <c r="O114" s="89">
        <f>N114+(D114/30)*M114</f>
        <v>288</v>
      </c>
      <c r="P114" s="87">
        <f t="shared" si="19"/>
        <v>344</v>
      </c>
      <c r="Q114" s="52">
        <v>4992</v>
      </c>
      <c r="R114" s="52"/>
      <c r="S114" s="53"/>
      <c r="T114" s="71">
        <v>15</v>
      </c>
      <c r="U114" s="71">
        <f t="shared" si="21"/>
        <v>74880</v>
      </c>
      <c r="V114" s="50"/>
      <c r="W114" s="51"/>
      <c r="X114" s="65"/>
      <c r="Y114" s="51"/>
      <c r="Z114" s="65"/>
      <c r="AA114" s="50"/>
      <c r="AB114" s="50"/>
      <c r="AC114" s="50"/>
      <c r="AD114" s="50">
        <v>2204408683</v>
      </c>
      <c r="AE114" s="50"/>
      <c r="AF114" s="50"/>
    </row>
    <row r="115" spans="1:32" s="54" customFormat="1" ht="12" x14ac:dyDescent="0.2">
      <c r="A115" s="51"/>
      <c r="B115" s="50" t="s">
        <v>312</v>
      </c>
      <c r="C115" s="65" t="s">
        <v>103</v>
      </c>
      <c r="D115" s="51">
        <v>45</v>
      </c>
      <c r="E115" s="51">
        <v>200</v>
      </c>
      <c r="F115" s="51">
        <v>400</v>
      </c>
      <c r="G115" s="51">
        <v>1</v>
      </c>
      <c r="H115" s="51">
        <v>1</v>
      </c>
      <c r="I115" s="51">
        <v>1</v>
      </c>
      <c r="J115" s="51">
        <v>15</v>
      </c>
      <c r="K115" s="51">
        <v>41</v>
      </c>
      <c r="L115" s="51">
        <v>55</v>
      </c>
      <c r="M115" s="51">
        <v>96</v>
      </c>
      <c r="N115" s="88">
        <v>114</v>
      </c>
      <c r="O115" s="89">
        <v>288</v>
      </c>
      <c r="P115" s="87">
        <v>344</v>
      </c>
      <c r="Q115" s="52">
        <v>4992</v>
      </c>
      <c r="R115" s="52"/>
      <c r="S115" s="53"/>
      <c r="T115" s="71">
        <v>1</v>
      </c>
      <c r="U115" s="71">
        <f t="shared" si="21"/>
        <v>4992</v>
      </c>
      <c r="V115" s="50"/>
      <c r="W115" s="51"/>
      <c r="X115" s="65"/>
      <c r="Y115" s="51"/>
      <c r="Z115" s="65"/>
      <c r="AA115" s="50"/>
      <c r="AB115" s="50"/>
      <c r="AC115" s="50"/>
      <c r="AD115" s="50">
        <v>2204408683</v>
      </c>
      <c r="AE115" s="50"/>
      <c r="AF115" s="50"/>
    </row>
    <row r="116" spans="1:32" s="54" customFormat="1" ht="12" x14ac:dyDescent="0.2">
      <c r="A116" s="51" t="s">
        <v>428</v>
      </c>
      <c r="B116" s="50" t="s">
        <v>99</v>
      </c>
      <c r="C116" s="65" t="s">
        <v>103</v>
      </c>
      <c r="D116" s="51">
        <v>45</v>
      </c>
      <c r="E116" s="51">
        <v>200</v>
      </c>
      <c r="F116" s="51">
        <v>200</v>
      </c>
      <c r="G116" s="51">
        <v>0</v>
      </c>
      <c r="H116" s="51">
        <v>1</v>
      </c>
      <c r="I116" s="51">
        <v>0</v>
      </c>
      <c r="J116" s="51">
        <v>15</v>
      </c>
      <c r="K116" s="51">
        <v>41</v>
      </c>
      <c r="L116" s="51">
        <v>55</v>
      </c>
      <c r="M116" s="51">
        <f t="shared" ref="M116:M145" si="22">(G116*J116)+(H116*K116)+(I116*L116)</f>
        <v>41</v>
      </c>
      <c r="N116" s="88">
        <f>(D116/30)*M116</f>
        <v>61.5</v>
      </c>
      <c r="O116" s="89">
        <f>N116+(D116/30)*M116</f>
        <v>123</v>
      </c>
      <c r="P116" s="87">
        <f t="shared" ref="P116:P147" si="23">N116+E116</f>
        <v>261.5</v>
      </c>
      <c r="Q116" s="52">
        <v>5000</v>
      </c>
      <c r="R116" s="52"/>
      <c r="S116" s="52"/>
      <c r="T116" s="71">
        <v>15.6</v>
      </c>
      <c r="U116" s="71">
        <f t="shared" si="21"/>
        <v>78000</v>
      </c>
      <c r="V116" s="50"/>
      <c r="W116" s="51"/>
      <c r="X116" s="65"/>
      <c r="Y116" s="51"/>
      <c r="Z116" s="65"/>
      <c r="AA116" s="50"/>
      <c r="AB116" s="50"/>
      <c r="AC116" s="50"/>
      <c r="AD116" s="50">
        <v>2204408683</v>
      </c>
      <c r="AE116" s="50"/>
      <c r="AF116" s="50"/>
    </row>
    <row r="117" spans="1:32" s="54" customFormat="1" ht="12" x14ac:dyDescent="0.2">
      <c r="A117" s="51" t="s">
        <v>303</v>
      </c>
      <c r="B117" s="50" t="s">
        <v>53</v>
      </c>
      <c r="C117" s="65" t="s">
        <v>224</v>
      </c>
      <c r="D117" s="51">
        <v>30</v>
      </c>
      <c r="E117" s="51">
        <v>1000</v>
      </c>
      <c r="F117" s="51">
        <v>1400</v>
      </c>
      <c r="G117" s="51">
        <v>0</v>
      </c>
      <c r="H117" s="51">
        <v>4</v>
      </c>
      <c r="I117" s="51">
        <v>4</v>
      </c>
      <c r="J117" s="51">
        <v>15</v>
      </c>
      <c r="K117" s="51">
        <v>41</v>
      </c>
      <c r="L117" s="51">
        <v>55</v>
      </c>
      <c r="M117" s="51">
        <f t="shared" si="22"/>
        <v>384</v>
      </c>
      <c r="N117" s="88">
        <f>(D117/30)*M117</f>
        <v>384</v>
      </c>
      <c r="O117" s="89">
        <f>N117+(D117/30)*M117</f>
        <v>768</v>
      </c>
      <c r="P117" s="87">
        <f t="shared" si="23"/>
        <v>1384</v>
      </c>
      <c r="Q117" s="52">
        <v>4968</v>
      </c>
      <c r="R117" s="52"/>
      <c r="S117" s="52"/>
      <c r="T117" s="71">
        <v>2.6</v>
      </c>
      <c r="U117" s="71">
        <f t="shared" si="21"/>
        <v>12916.800000000001</v>
      </c>
      <c r="V117" s="50"/>
      <c r="W117" s="51"/>
      <c r="X117" s="65"/>
      <c r="Y117" s="51"/>
      <c r="Z117" s="65"/>
      <c r="AA117" s="50"/>
      <c r="AB117" s="50"/>
      <c r="AC117" s="50"/>
      <c r="AD117" s="50">
        <v>4155652517</v>
      </c>
      <c r="AE117" s="50"/>
      <c r="AF117" s="50"/>
    </row>
    <row r="118" spans="1:32" s="54" customFormat="1" ht="12" x14ac:dyDescent="0.2">
      <c r="A118" s="51" t="s">
        <v>289</v>
      </c>
      <c r="B118" s="50" t="s">
        <v>54</v>
      </c>
      <c r="C118" s="65" t="s">
        <v>225</v>
      </c>
      <c r="D118" s="51">
        <v>30</v>
      </c>
      <c r="E118" s="51">
        <v>80</v>
      </c>
      <c r="F118" s="51">
        <v>296</v>
      </c>
      <c r="G118" s="51">
        <v>0</v>
      </c>
      <c r="H118" s="51">
        <v>1</v>
      </c>
      <c r="I118" s="51">
        <v>1</v>
      </c>
      <c r="J118" s="51">
        <v>15</v>
      </c>
      <c r="K118" s="51">
        <v>41</v>
      </c>
      <c r="L118" s="51">
        <v>55</v>
      </c>
      <c r="M118" s="51">
        <f t="shared" si="22"/>
        <v>96</v>
      </c>
      <c r="N118" s="88">
        <f>(D118/30)*M118</f>
        <v>96</v>
      </c>
      <c r="O118" s="89">
        <f>N118+(D118/30)*M118</f>
        <v>192</v>
      </c>
      <c r="P118" s="87">
        <f t="shared" si="23"/>
        <v>176</v>
      </c>
      <c r="Q118" s="52">
        <v>4992</v>
      </c>
      <c r="R118" s="52"/>
      <c r="S118" s="52"/>
      <c r="T118" s="71">
        <v>19.8</v>
      </c>
      <c r="U118" s="71">
        <f t="shared" si="21"/>
        <v>98841.600000000006</v>
      </c>
      <c r="V118" s="50"/>
      <c r="W118" s="51"/>
      <c r="X118" s="65"/>
      <c r="Y118" s="51"/>
      <c r="Z118" s="65"/>
      <c r="AA118" s="50"/>
      <c r="AB118" s="50"/>
      <c r="AC118" s="50"/>
      <c r="AD118" s="50">
        <v>2204408493</v>
      </c>
      <c r="AE118" s="50"/>
      <c r="AF118" s="50"/>
    </row>
    <row r="119" spans="1:32" s="54" customFormat="1" ht="12" x14ac:dyDescent="0.2">
      <c r="A119" s="51" t="s">
        <v>429</v>
      </c>
      <c r="B119" s="50" t="s">
        <v>226</v>
      </c>
      <c r="C119" s="65" t="s">
        <v>225</v>
      </c>
      <c r="D119" s="51">
        <v>35</v>
      </c>
      <c r="E119" s="51">
        <v>30</v>
      </c>
      <c r="F119" s="51">
        <v>30</v>
      </c>
      <c r="G119" s="51">
        <v>1</v>
      </c>
      <c r="H119" s="51">
        <v>0</v>
      </c>
      <c r="I119" s="51">
        <v>0</v>
      </c>
      <c r="J119" s="51">
        <v>15</v>
      </c>
      <c r="K119" s="51">
        <v>41</v>
      </c>
      <c r="L119" s="51">
        <v>55</v>
      </c>
      <c r="M119" s="51">
        <f t="shared" si="22"/>
        <v>15</v>
      </c>
      <c r="N119" s="88">
        <f>(D119/30)*M119</f>
        <v>17.5</v>
      </c>
      <c r="O119" s="89">
        <f>N119+(D119/30)*M119</f>
        <v>35</v>
      </c>
      <c r="P119" s="87">
        <f t="shared" si="23"/>
        <v>47.5</v>
      </c>
      <c r="Q119" s="52">
        <v>5000</v>
      </c>
      <c r="R119" s="56"/>
      <c r="S119" s="57"/>
      <c r="T119" s="71">
        <v>140.80000000000001</v>
      </c>
      <c r="U119" s="71">
        <f t="shared" si="21"/>
        <v>704000</v>
      </c>
      <c r="V119" s="50"/>
      <c r="W119" s="51"/>
      <c r="X119" s="65"/>
      <c r="Y119" s="51"/>
      <c r="Z119" s="65"/>
      <c r="AA119" s="50"/>
      <c r="AB119" s="50"/>
      <c r="AC119" s="50"/>
      <c r="AD119" s="50">
        <v>2204408493</v>
      </c>
      <c r="AE119" s="50"/>
      <c r="AF119" s="50"/>
    </row>
    <row r="120" spans="1:32" s="54" customFormat="1" ht="12" x14ac:dyDescent="0.2">
      <c r="A120" s="51" t="s">
        <v>430</v>
      </c>
      <c r="B120" s="50" t="s">
        <v>122</v>
      </c>
      <c r="C120" s="65" t="s">
        <v>225</v>
      </c>
      <c r="D120" s="51">
        <v>35</v>
      </c>
      <c r="E120" s="51">
        <v>40</v>
      </c>
      <c r="F120" s="51">
        <v>80</v>
      </c>
      <c r="G120" s="51">
        <v>0</v>
      </c>
      <c r="H120" s="51">
        <v>1</v>
      </c>
      <c r="I120" s="51">
        <v>0</v>
      </c>
      <c r="J120" s="51">
        <v>15</v>
      </c>
      <c r="K120" s="51">
        <v>41</v>
      </c>
      <c r="L120" s="51">
        <v>55</v>
      </c>
      <c r="M120" s="51">
        <f t="shared" si="22"/>
        <v>41</v>
      </c>
      <c r="N120" s="88">
        <f>((D120/30)*M120)*0.8</f>
        <v>38.266666666666673</v>
      </c>
      <c r="O120" s="89">
        <f>(N120+(D120/30)*M120)*0.8</f>
        <v>68.88000000000001</v>
      </c>
      <c r="P120" s="87">
        <f t="shared" si="23"/>
        <v>78.26666666666668</v>
      </c>
      <c r="Q120" s="52">
        <v>5000</v>
      </c>
      <c r="R120" s="56"/>
      <c r="S120" s="56"/>
      <c r="T120" s="71">
        <v>258</v>
      </c>
      <c r="U120" s="71">
        <f t="shared" si="21"/>
        <v>1290000</v>
      </c>
      <c r="V120" s="50"/>
      <c r="W120" s="51"/>
      <c r="X120" s="65"/>
      <c r="Y120" s="51"/>
      <c r="Z120" s="65"/>
      <c r="AA120" s="50"/>
      <c r="AB120" s="50"/>
      <c r="AC120" s="50"/>
      <c r="AD120" s="50">
        <v>2204408493</v>
      </c>
      <c r="AE120" s="50"/>
      <c r="AF120" s="50"/>
    </row>
    <row r="121" spans="1:32" s="54" customFormat="1" ht="12" x14ac:dyDescent="0.2">
      <c r="A121" s="51" t="s">
        <v>431</v>
      </c>
      <c r="B121" s="50" t="s">
        <v>206</v>
      </c>
      <c r="C121" s="65" t="s">
        <v>227</v>
      </c>
      <c r="D121" s="51">
        <v>7</v>
      </c>
      <c r="E121" s="51">
        <v>50</v>
      </c>
      <c r="F121" s="51">
        <v>50</v>
      </c>
      <c r="G121" s="51">
        <v>1</v>
      </c>
      <c r="H121" s="51">
        <v>1</v>
      </c>
      <c r="I121" s="51">
        <v>1</v>
      </c>
      <c r="J121" s="51">
        <v>15</v>
      </c>
      <c r="K121" s="51">
        <v>41</v>
      </c>
      <c r="L121" s="51">
        <v>55</v>
      </c>
      <c r="M121" s="51">
        <f t="shared" si="22"/>
        <v>111</v>
      </c>
      <c r="N121" s="88">
        <f>(D121/30)*M121</f>
        <v>25.900000000000002</v>
      </c>
      <c r="O121" s="89">
        <f>N121+(D121/30)*M121</f>
        <v>51.800000000000004</v>
      </c>
      <c r="P121" s="87">
        <f t="shared" si="23"/>
        <v>75.900000000000006</v>
      </c>
      <c r="Q121" s="52">
        <v>4992</v>
      </c>
      <c r="R121" s="52"/>
      <c r="S121" s="52"/>
      <c r="T121" s="71">
        <v>3.31</v>
      </c>
      <c r="U121" s="71">
        <f t="shared" si="21"/>
        <v>16523.52</v>
      </c>
      <c r="V121" s="50"/>
      <c r="W121" s="51"/>
      <c r="X121" s="65"/>
      <c r="Y121" s="51"/>
      <c r="Z121" s="65"/>
      <c r="AA121" s="50"/>
      <c r="AB121" s="50"/>
      <c r="AC121" s="50"/>
      <c r="AD121" s="50"/>
      <c r="AE121" s="50"/>
      <c r="AF121" s="50"/>
    </row>
    <row r="122" spans="1:32" s="54" customFormat="1" ht="12" x14ac:dyDescent="0.2">
      <c r="A122" s="51" t="s">
        <v>123</v>
      </c>
      <c r="B122" s="50" t="s">
        <v>177</v>
      </c>
      <c r="C122" s="65" t="s">
        <v>228</v>
      </c>
      <c r="D122" s="51">
        <v>40</v>
      </c>
      <c r="E122" s="51">
        <v>200</v>
      </c>
      <c r="F122" s="51">
        <v>500</v>
      </c>
      <c r="G122" s="51">
        <v>0</v>
      </c>
      <c r="H122" s="51">
        <v>1</v>
      </c>
      <c r="I122" s="51">
        <v>1</v>
      </c>
      <c r="J122" s="51">
        <v>15</v>
      </c>
      <c r="K122" s="51">
        <v>41</v>
      </c>
      <c r="L122" s="51">
        <v>55</v>
      </c>
      <c r="M122" s="51">
        <f t="shared" si="22"/>
        <v>96</v>
      </c>
      <c r="N122" s="88">
        <f>(D122/30)*M122</f>
        <v>128</v>
      </c>
      <c r="O122" s="89">
        <f>N122+(D122/30)*M122</f>
        <v>256</v>
      </c>
      <c r="P122" s="87">
        <f t="shared" si="23"/>
        <v>328</v>
      </c>
      <c r="Q122" s="52">
        <v>4992</v>
      </c>
      <c r="R122" s="52"/>
      <c r="S122" s="53"/>
      <c r="T122" s="71">
        <v>7.19</v>
      </c>
      <c r="U122" s="71">
        <f t="shared" si="21"/>
        <v>35892.480000000003</v>
      </c>
      <c r="V122" s="50"/>
      <c r="W122" s="51"/>
      <c r="X122" s="65"/>
      <c r="Y122" s="51"/>
      <c r="Z122" s="65"/>
      <c r="AA122" s="50"/>
      <c r="AB122" s="50"/>
      <c r="AC122" s="50"/>
      <c r="AD122" s="50">
        <v>2206324429</v>
      </c>
      <c r="AE122" s="50"/>
      <c r="AF122" s="50"/>
    </row>
    <row r="123" spans="1:32" s="54" customFormat="1" ht="12" x14ac:dyDescent="0.2">
      <c r="A123" s="51" t="s">
        <v>124</v>
      </c>
      <c r="B123" s="50" t="s">
        <v>125</v>
      </c>
      <c r="C123" s="65" t="s">
        <v>229</v>
      </c>
      <c r="D123" s="51">
        <v>30</v>
      </c>
      <c r="E123" s="51">
        <v>300</v>
      </c>
      <c r="F123" s="51">
        <v>500</v>
      </c>
      <c r="G123" s="51">
        <v>1</v>
      </c>
      <c r="H123" s="51">
        <v>1</v>
      </c>
      <c r="I123" s="51">
        <v>1</v>
      </c>
      <c r="J123" s="51">
        <v>15</v>
      </c>
      <c r="K123" s="51">
        <v>41</v>
      </c>
      <c r="L123" s="51">
        <v>55</v>
      </c>
      <c r="M123" s="51">
        <f t="shared" si="22"/>
        <v>111</v>
      </c>
      <c r="N123" s="88">
        <f>(D123/30)*M123</f>
        <v>111</v>
      </c>
      <c r="O123" s="89">
        <f>N123+(D123/30)*M123</f>
        <v>222</v>
      </c>
      <c r="P123" s="87">
        <f t="shared" si="23"/>
        <v>411</v>
      </c>
      <c r="Q123" s="52">
        <v>4992</v>
      </c>
      <c r="R123" s="52"/>
      <c r="S123" s="52"/>
      <c r="T123" s="71">
        <v>9.7899999999999991</v>
      </c>
      <c r="U123" s="71">
        <f t="shared" si="21"/>
        <v>48871.679999999993</v>
      </c>
      <c r="V123" s="50"/>
      <c r="W123" s="51"/>
      <c r="X123" s="65"/>
      <c r="Y123" s="51"/>
      <c r="Z123" s="65"/>
      <c r="AA123" s="50"/>
      <c r="AB123" s="50"/>
      <c r="AC123" s="50"/>
      <c r="AD123" s="50">
        <v>3990269914</v>
      </c>
      <c r="AE123" s="50"/>
      <c r="AF123" s="50"/>
    </row>
    <row r="124" spans="1:32" s="54" customFormat="1" ht="12" x14ac:dyDescent="0.2">
      <c r="A124" s="51" t="s">
        <v>178</v>
      </c>
      <c r="B124" s="50" t="s">
        <v>230</v>
      </c>
      <c r="C124" s="65" t="s">
        <v>228</v>
      </c>
      <c r="D124" s="51">
        <v>40</v>
      </c>
      <c r="E124" s="51">
        <v>200</v>
      </c>
      <c r="F124" s="51">
        <v>100</v>
      </c>
      <c r="G124" s="51">
        <v>1</v>
      </c>
      <c r="H124" s="51">
        <v>0</v>
      </c>
      <c r="I124" s="51">
        <v>0</v>
      </c>
      <c r="J124" s="51">
        <v>15</v>
      </c>
      <c r="K124" s="51">
        <v>41</v>
      </c>
      <c r="L124" s="51">
        <v>55</v>
      </c>
      <c r="M124" s="51">
        <f t="shared" si="22"/>
        <v>15</v>
      </c>
      <c r="N124" s="88">
        <f>(D124/30)*M124</f>
        <v>20</v>
      </c>
      <c r="O124" s="89">
        <f>N124+(D124/30)*M124</f>
        <v>40</v>
      </c>
      <c r="P124" s="87">
        <f t="shared" si="23"/>
        <v>220</v>
      </c>
      <c r="Q124" s="52">
        <v>5000</v>
      </c>
      <c r="R124" s="52"/>
      <c r="S124" s="52"/>
      <c r="T124" s="71">
        <v>21.73</v>
      </c>
      <c r="U124" s="71">
        <f t="shared" si="21"/>
        <v>108650</v>
      </c>
      <c r="V124" s="50"/>
      <c r="W124" s="51"/>
      <c r="X124" s="65"/>
      <c r="Y124" s="51"/>
      <c r="Z124" s="65"/>
      <c r="AA124" s="50"/>
      <c r="AB124" s="50"/>
      <c r="AC124" s="50"/>
      <c r="AD124" s="50">
        <v>2206324429</v>
      </c>
      <c r="AE124" s="50"/>
      <c r="AF124" s="50"/>
    </row>
    <row r="125" spans="1:32" s="54" customFormat="1" ht="12" x14ac:dyDescent="0.2">
      <c r="A125" s="51" t="s">
        <v>126</v>
      </c>
      <c r="B125" s="50" t="s">
        <v>127</v>
      </c>
      <c r="C125" s="65" t="s">
        <v>1191</v>
      </c>
      <c r="D125" s="51">
        <v>5</v>
      </c>
      <c r="E125" s="51">
        <v>80</v>
      </c>
      <c r="F125" s="51">
        <v>200</v>
      </c>
      <c r="G125" s="51">
        <v>0</v>
      </c>
      <c r="H125" s="51">
        <v>1</v>
      </c>
      <c r="I125" s="51">
        <v>1</v>
      </c>
      <c r="J125" s="51">
        <v>15</v>
      </c>
      <c r="K125" s="51">
        <v>41</v>
      </c>
      <c r="L125" s="51">
        <v>55</v>
      </c>
      <c r="M125" s="51">
        <f t="shared" si="22"/>
        <v>96</v>
      </c>
      <c r="N125" s="88">
        <f>((D125/30)*M125)*0.7</f>
        <v>11.2</v>
      </c>
      <c r="O125" s="89">
        <f>(N125+(D125/30)*M125)*0.7</f>
        <v>19.04</v>
      </c>
      <c r="P125" s="87">
        <f t="shared" si="23"/>
        <v>91.2</v>
      </c>
      <c r="Q125" s="52">
        <v>4992</v>
      </c>
      <c r="R125" s="52"/>
      <c r="S125" s="52"/>
      <c r="T125" s="71">
        <v>170</v>
      </c>
      <c r="U125" s="71">
        <f t="shared" si="21"/>
        <v>848640</v>
      </c>
      <c r="V125" s="50"/>
      <c r="W125" s="51"/>
      <c r="X125" s="65"/>
      <c r="Y125" s="51"/>
      <c r="Z125" s="65"/>
      <c r="AA125" s="50"/>
      <c r="AB125" s="50"/>
      <c r="AC125" s="50"/>
      <c r="AD125" s="50">
        <v>4470920623</v>
      </c>
      <c r="AE125" s="50"/>
      <c r="AF125" s="50"/>
    </row>
    <row r="126" spans="1:32" s="54" customFormat="1" ht="12" x14ac:dyDescent="0.2">
      <c r="A126" s="51" t="s">
        <v>128</v>
      </c>
      <c r="B126" s="50" t="s">
        <v>179</v>
      </c>
      <c r="C126" s="65" t="s">
        <v>232</v>
      </c>
      <c r="D126" s="51">
        <v>30</v>
      </c>
      <c r="E126" s="51">
        <v>5000</v>
      </c>
      <c r="F126" s="51">
        <v>2000</v>
      </c>
      <c r="G126" s="51">
        <v>0</v>
      </c>
      <c r="H126" s="51">
        <v>1</v>
      </c>
      <c r="I126" s="51">
        <v>1</v>
      </c>
      <c r="J126" s="51">
        <v>15</v>
      </c>
      <c r="K126" s="51">
        <v>41</v>
      </c>
      <c r="L126" s="51">
        <v>55</v>
      </c>
      <c r="M126" s="51">
        <f t="shared" si="22"/>
        <v>96</v>
      </c>
      <c r="N126" s="88">
        <f t="shared" ref="N126:N144" si="24">(D126/30)*M126</f>
        <v>96</v>
      </c>
      <c r="O126" s="89">
        <f t="shared" ref="O126:O169" si="25">N126+(D126/30)*M126</f>
        <v>192</v>
      </c>
      <c r="P126" s="87">
        <f t="shared" si="23"/>
        <v>5096</v>
      </c>
      <c r="Q126" s="52">
        <v>4992</v>
      </c>
      <c r="R126" s="52"/>
      <c r="S126" s="53"/>
      <c r="T126" s="71">
        <v>7.19</v>
      </c>
      <c r="U126" s="71">
        <f t="shared" si="21"/>
        <v>35892.480000000003</v>
      </c>
      <c r="V126" s="50"/>
      <c r="W126" s="51"/>
      <c r="X126" s="65"/>
      <c r="Y126" s="51"/>
      <c r="Z126" s="65"/>
      <c r="AA126" s="50"/>
      <c r="AB126" s="50"/>
      <c r="AC126" s="50"/>
      <c r="AD126" s="50">
        <v>2206324429</v>
      </c>
      <c r="AE126" s="50"/>
      <c r="AF126" s="50"/>
    </row>
    <row r="127" spans="1:32" s="54" customFormat="1" ht="12" x14ac:dyDescent="0.2">
      <c r="A127" s="51" t="s">
        <v>129</v>
      </c>
      <c r="B127" s="50" t="s">
        <v>130</v>
      </c>
      <c r="C127" s="65" t="s">
        <v>231</v>
      </c>
      <c r="D127" s="51">
        <v>5</v>
      </c>
      <c r="E127" s="51">
        <v>80</v>
      </c>
      <c r="F127" s="51">
        <v>200</v>
      </c>
      <c r="G127" s="51">
        <v>0</v>
      </c>
      <c r="H127" s="51">
        <v>1</v>
      </c>
      <c r="I127" s="51">
        <v>1</v>
      </c>
      <c r="J127" s="51">
        <v>15</v>
      </c>
      <c r="K127" s="51">
        <v>41</v>
      </c>
      <c r="L127" s="51">
        <v>55</v>
      </c>
      <c r="M127" s="51">
        <f t="shared" si="22"/>
        <v>96</v>
      </c>
      <c r="N127" s="88">
        <f t="shared" si="24"/>
        <v>16</v>
      </c>
      <c r="O127" s="89">
        <f t="shared" si="25"/>
        <v>32</v>
      </c>
      <c r="P127" s="87">
        <f t="shared" si="23"/>
        <v>96</v>
      </c>
      <c r="Q127" s="52">
        <v>4992</v>
      </c>
      <c r="R127" s="52"/>
      <c r="S127" s="53"/>
      <c r="T127" s="71">
        <v>59.9</v>
      </c>
      <c r="U127" s="71">
        <f t="shared" si="21"/>
        <v>299020.79999999999</v>
      </c>
      <c r="V127" s="50"/>
      <c r="W127" s="51"/>
      <c r="X127" s="65"/>
      <c r="Y127" s="51"/>
      <c r="Z127" s="65"/>
      <c r="AA127" s="50"/>
      <c r="AB127" s="50"/>
      <c r="AC127" s="50"/>
      <c r="AD127" s="50">
        <v>4470920623</v>
      </c>
      <c r="AE127" s="50"/>
      <c r="AF127" s="50"/>
    </row>
    <row r="128" spans="1:32" s="54" customFormat="1" ht="12" x14ac:dyDescent="0.2">
      <c r="A128" s="51" t="s">
        <v>131</v>
      </c>
      <c r="B128" s="50" t="s">
        <v>180</v>
      </c>
      <c r="C128" s="65" t="s">
        <v>228</v>
      </c>
      <c r="D128" s="51">
        <v>40</v>
      </c>
      <c r="E128" s="51">
        <v>200</v>
      </c>
      <c r="F128" s="51">
        <v>400</v>
      </c>
      <c r="G128" s="51">
        <v>0</v>
      </c>
      <c r="H128" s="51">
        <v>1</v>
      </c>
      <c r="I128" s="51">
        <v>1</v>
      </c>
      <c r="J128" s="51">
        <v>15</v>
      </c>
      <c r="K128" s="51">
        <v>41</v>
      </c>
      <c r="L128" s="51">
        <v>55</v>
      </c>
      <c r="M128" s="51">
        <f t="shared" si="22"/>
        <v>96</v>
      </c>
      <c r="N128" s="88">
        <f t="shared" si="24"/>
        <v>128</v>
      </c>
      <c r="O128" s="89">
        <f t="shared" si="25"/>
        <v>256</v>
      </c>
      <c r="P128" s="87">
        <f t="shared" si="23"/>
        <v>328</v>
      </c>
      <c r="Q128" s="52">
        <v>4992</v>
      </c>
      <c r="R128" s="52"/>
      <c r="S128" s="53"/>
      <c r="T128" s="71">
        <v>7.19</v>
      </c>
      <c r="U128" s="71">
        <f t="shared" si="21"/>
        <v>35892.480000000003</v>
      </c>
      <c r="V128" s="50"/>
      <c r="W128" s="51"/>
      <c r="X128" s="65"/>
      <c r="Y128" s="51"/>
      <c r="Z128" s="65"/>
      <c r="AA128" s="50"/>
      <c r="AB128" s="50"/>
      <c r="AC128" s="50"/>
      <c r="AD128" s="50">
        <v>2206324429</v>
      </c>
      <c r="AE128" s="50"/>
      <c r="AF128" s="50"/>
    </row>
    <row r="129" spans="1:32" s="54" customFormat="1" ht="12" x14ac:dyDescent="0.2">
      <c r="A129" s="51" t="s">
        <v>132</v>
      </c>
      <c r="B129" s="50" t="s">
        <v>181</v>
      </c>
      <c r="C129" s="65" t="s">
        <v>233</v>
      </c>
      <c r="D129" s="51">
        <v>30</v>
      </c>
      <c r="E129" s="51">
        <v>200</v>
      </c>
      <c r="F129" s="51">
        <v>300</v>
      </c>
      <c r="G129" s="51">
        <v>0</v>
      </c>
      <c r="H129" s="51">
        <v>1</v>
      </c>
      <c r="I129" s="51">
        <v>1</v>
      </c>
      <c r="J129" s="51">
        <v>15</v>
      </c>
      <c r="K129" s="51">
        <v>41</v>
      </c>
      <c r="L129" s="51">
        <v>55</v>
      </c>
      <c r="M129" s="51">
        <f t="shared" si="22"/>
        <v>96</v>
      </c>
      <c r="N129" s="88">
        <f t="shared" si="24"/>
        <v>96</v>
      </c>
      <c r="O129" s="89">
        <f t="shared" si="25"/>
        <v>192</v>
      </c>
      <c r="P129" s="87">
        <f t="shared" si="23"/>
        <v>296</v>
      </c>
      <c r="Q129" s="52">
        <v>4992</v>
      </c>
      <c r="R129" s="52"/>
      <c r="S129" s="53"/>
      <c r="T129" s="71">
        <v>15</v>
      </c>
      <c r="U129" s="71">
        <f t="shared" si="21"/>
        <v>74880</v>
      </c>
      <c r="V129" s="50"/>
      <c r="W129" s="51"/>
      <c r="X129" s="65"/>
      <c r="Y129" s="51"/>
      <c r="Z129" s="65"/>
      <c r="AA129" s="50"/>
      <c r="AB129" s="50"/>
      <c r="AC129" s="50"/>
      <c r="AD129" s="50">
        <v>3939388541</v>
      </c>
      <c r="AE129" s="50"/>
      <c r="AF129" s="50"/>
    </row>
    <row r="130" spans="1:32" s="54" customFormat="1" ht="12" x14ac:dyDescent="0.2">
      <c r="A130" s="51" t="s">
        <v>133</v>
      </c>
      <c r="B130" s="50" t="s">
        <v>182</v>
      </c>
      <c r="C130" s="65" t="s">
        <v>234</v>
      </c>
      <c r="D130" s="51">
        <v>30</v>
      </c>
      <c r="E130" s="51">
        <v>5000</v>
      </c>
      <c r="F130" s="51">
        <v>2000</v>
      </c>
      <c r="G130" s="51">
        <v>0</v>
      </c>
      <c r="H130" s="51">
        <v>1</v>
      </c>
      <c r="I130" s="51">
        <v>1</v>
      </c>
      <c r="J130" s="51">
        <v>15</v>
      </c>
      <c r="K130" s="51">
        <v>41</v>
      </c>
      <c r="L130" s="51">
        <v>55</v>
      </c>
      <c r="M130" s="51">
        <f t="shared" si="22"/>
        <v>96</v>
      </c>
      <c r="N130" s="88">
        <f t="shared" si="24"/>
        <v>96</v>
      </c>
      <c r="O130" s="89">
        <f t="shared" si="25"/>
        <v>192</v>
      </c>
      <c r="P130" s="87">
        <f t="shared" si="23"/>
        <v>5096</v>
      </c>
      <c r="Q130" s="52">
        <v>4992</v>
      </c>
      <c r="R130" s="52"/>
      <c r="S130" s="52"/>
      <c r="T130" s="71">
        <v>0.5</v>
      </c>
      <c r="U130" s="71">
        <f t="shared" si="21"/>
        <v>2496</v>
      </c>
      <c r="V130" s="50"/>
      <c r="W130" s="51"/>
      <c r="X130" s="65"/>
      <c r="Y130" s="51"/>
      <c r="Z130" s="65"/>
      <c r="AA130" s="50"/>
      <c r="AB130" s="50"/>
      <c r="AC130" s="50"/>
      <c r="AD130" s="50">
        <v>3844947478</v>
      </c>
      <c r="AE130" s="50"/>
      <c r="AF130" s="50"/>
    </row>
    <row r="131" spans="1:32" s="54" customFormat="1" ht="12" x14ac:dyDescent="0.2">
      <c r="A131" s="51" t="s">
        <v>134</v>
      </c>
      <c r="B131" s="50" t="s">
        <v>183</v>
      </c>
      <c r="C131" s="65" t="s">
        <v>235</v>
      </c>
      <c r="D131" s="51">
        <v>60</v>
      </c>
      <c r="E131" s="51">
        <v>2500</v>
      </c>
      <c r="F131" s="51">
        <v>2500</v>
      </c>
      <c r="G131" s="51">
        <v>0</v>
      </c>
      <c r="H131" s="51">
        <v>2</v>
      </c>
      <c r="I131" s="51">
        <v>2</v>
      </c>
      <c r="J131" s="51">
        <v>15</v>
      </c>
      <c r="K131" s="51">
        <v>41</v>
      </c>
      <c r="L131" s="51">
        <v>55</v>
      </c>
      <c r="M131" s="51">
        <f t="shared" si="22"/>
        <v>192</v>
      </c>
      <c r="N131" s="88">
        <f t="shared" si="24"/>
        <v>384</v>
      </c>
      <c r="O131" s="89">
        <f t="shared" si="25"/>
        <v>768</v>
      </c>
      <c r="P131" s="87">
        <f t="shared" si="23"/>
        <v>2884</v>
      </c>
      <c r="Q131" s="52">
        <v>4984</v>
      </c>
      <c r="R131" s="52"/>
      <c r="S131" s="53"/>
      <c r="T131" s="71">
        <v>0.5</v>
      </c>
      <c r="U131" s="71">
        <f t="shared" si="21"/>
        <v>2492</v>
      </c>
      <c r="V131" s="50"/>
      <c r="W131" s="51"/>
      <c r="X131" s="65"/>
      <c r="Y131" s="51"/>
      <c r="Z131" s="65"/>
      <c r="AA131" s="50"/>
      <c r="AB131" s="50"/>
      <c r="AC131" s="50"/>
      <c r="AD131" s="50">
        <v>3844947478</v>
      </c>
      <c r="AE131" s="50"/>
      <c r="AF131" s="50"/>
    </row>
    <row r="132" spans="1:32" s="54" customFormat="1" ht="12" x14ac:dyDescent="0.2">
      <c r="A132" s="51" t="s">
        <v>184</v>
      </c>
      <c r="B132" s="50" t="s">
        <v>244</v>
      </c>
      <c r="C132" s="65" t="s">
        <v>235</v>
      </c>
      <c r="D132" s="51">
        <v>60</v>
      </c>
      <c r="E132" s="51">
        <v>500</v>
      </c>
      <c r="F132" s="51">
        <v>400</v>
      </c>
      <c r="G132" s="51">
        <v>3</v>
      </c>
      <c r="H132" s="51">
        <v>0</v>
      </c>
      <c r="I132" s="51">
        <v>0</v>
      </c>
      <c r="J132" s="51">
        <v>15</v>
      </c>
      <c r="K132" s="51">
        <v>41</v>
      </c>
      <c r="L132" s="51">
        <v>55</v>
      </c>
      <c r="M132" s="51">
        <f t="shared" si="22"/>
        <v>45</v>
      </c>
      <c r="N132" s="88">
        <f t="shared" si="24"/>
        <v>90</v>
      </c>
      <c r="O132" s="89">
        <f t="shared" si="25"/>
        <v>180</v>
      </c>
      <c r="P132" s="87">
        <f t="shared" si="23"/>
        <v>590</v>
      </c>
      <c r="Q132" s="52">
        <v>5000</v>
      </c>
      <c r="R132" s="52"/>
      <c r="S132" s="52"/>
      <c r="T132" s="71">
        <v>0.5</v>
      </c>
      <c r="U132" s="71">
        <f t="shared" si="21"/>
        <v>2500</v>
      </c>
      <c r="V132" s="50"/>
      <c r="W132" s="51"/>
      <c r="X132" s="65"/>
      <c r="Y132" s="51"/>
      <c r="Z132" s="65"/>
      <c r="AA132" s="50"/>
      <c r="AB132" s="50"/>
      <c r="AC132" s="50"/>
      <c r="AD132" s="50">
        <v>3844947478</v>
      </c>
      <c r="AE132" s="50"/>
      <c r="AF132" s="50"/>
    </row>
    <row r="133" spans="1:32" s="54" customFormat="1" ht="12" x14ac:dyDescent="0.2">
      <c r="A133" s="51" t="s">
        <v>135</v>
      </c>
      <c r="B133" s="50" t="s">
        <v>185</v>
      </c>
      <c r="C133" s="65" t="s">
        <v>235</v>
      </c>
      <c r="D133" s="51">
        <v>60</v>
      </c>
      <c r="E133" s="51">
        <v>8500</v>
      </c>
      <c r="F133" s="51">
        <v>8500</v>
      </c>
      <c r="G133" s="51">
        <v>0</v>
      </c>
      <c r="H133" s="51">
        <v>7</v>
      </c>
      <c r="I133" s="51">
        <v>7</v>
      </c>
      <c r="J133" s="51">
        <v>15</v>
      </c>
      <c r="K133" s="51">
        <v>41</v>
      </c>
      <c r="L133" s="51">
        <v>55</v>
      </c>
      <c r="M133" s="51">
        <f t="shared" si="22"/>
        <v>672</v>
      </c>
      <c r="N133" s="88">
        <f t="shared" si="24"/>
        <v>1344</v>
      </c>
      <c r="O133" s="89">
        <f t="shared" si="25"/>
        <v>2688</v>
      </c>
      <c r="P133" s="87">
        <f t="shared" si="23"/>
        <v>9844</v>
      </c>
      <c r="Q133" s="52">
        <v>4944</v>
      </c>
      <c r="R133" s="52"/>
      <c r="S133" s="52"/>
      <c r="T133" s="71">
        <v>0.5</v>
      </c>
      <c r="U133" s="71">
        <f t="shared" si="21"/>
        <v>2472</v>
      </c>
      <c r="V133" s="50"/>
      <c r="W133" s="51"/>
      <c r="X133" s="65"/>
      <c r="Y133" s="51"/>
      <c r="Z133" s="65"/>
      <c r="AA133" s="50"/>
      <c r="AB133" s="50"/>
      <c r="AC133" s="50"/>
      <c r="AD133" s="50">
        <v>3844947478</v>
      </c>
      <c r="AE133" s="50"/>
      <c r="AF133" s="50"/>
    </row>
    <row r="134" spans="1:32" s="54" customFormat="1" ht="12" x14ac:dyDescent="0.2">
      <c r="A134" s="51" t="s">
        <v>136</v>
      </c>
      <c r="B134" s="50" t="s">
        <v>137</v>
      </c>
      <c r="C134" s="65" t="s">
        <v>235</v>
      </c>
      <c r="D134" s="51">
        <v>60</v>
      </c>
      <c r="E134" s="51">
        <v>9500</v>
      </c>
      <c r="F134" s="51">
        <v>9500</v>
      </c>
      <c r="G134" s="51">
        <v>0</v>
      </c>
      <c r="H134" s="51">
        <v>8</v>
      </c>
      <c r="I134" s="51">
        <v>8</v>
      </c>
      <c r="J134" s="51">
        <v>15</v>
      </c>
      <c r="K134" s="51">
        <v>41</v>
      </c>
      <c r="L134" s="51">
        <v>55</v>
      </c>
      <c r="M134" s="51">
        <f t="shared" si="22"/>
        <v>768</v>
      </c>
      <c r="N134" s="88">
        <f t="shared" si="24"/>
        <v>1536</v>
      </c>
      <c r="O134" s="89">
        <f t="shared" si="25"/>
        <v>3072</v>
      </c>
      <c r="P134" s="87">
        <f t="shared" si="23"/>
        <v>11036</v>
      </c>
      <c r="Q134" s="52">
        <v>4936</v>
      </c>
      <c r="R134" s="52"/>
      <c r="S134" s="52"/>
      <c r="T134" s="71">
        <v>1.03</v>
      </c>
      <c r="U134" s="71">
        <f t="shared" si="21"/>
        <v>5084.08</v>
      </c>
      <c r="V134" s="50"/>
      <c r="W134" s="51"/>
      <c r="X134" s="65"/>
      <c r="Y134" s="51"/>
      <c r="Z134" s="65"/>
      <c r="AA134" s="50"/>
      <c r="AB134" s="50"/>
      <c r="AC134" s="50"/>
      <c r="AD134" s="50">
        <v>3844947478</v>
      </c>
      <c r="AE134" s="50"/>
      <c r="AF134" s="50"/>
    </row>
    <row r="135" spans="1:32" s="54" customFormat="1" ht="12" x14ac:dyDescent="0.2">
      <c r="A135" s="51" t="s">
        <v>138</v>
      </c>
      <c r="B135" s="50" t="s">
        <v>186</v>
      </c>
      <c r="C135" s="65" t="s">
        <v>235</v>
      </c>
      <c r="D135" s="51">
        <v>60</v>
      </c>
      <c r="E135" s="51">
        <v>15500</v>
      </c>
      <c r="F135" s="51">
        <v>15500</v>
      </c>
      <c r="G135" s="51">
        <v>12</v>
      </c>
      <c r="H135" s="51">
        <v>12</v>
      </c>
      <c r="I135" s="51">
        <v>12</v>
      </c>
      <c r="J135" s="51">
        <v>15</v>
      </c>
      <c r="K135" s="51">
        <v>41</v>
      </c>
      <c r="L135" s="51">
        <v>55</v>
      </c>
      <c r="M135" s="51">
        <f t="shared" si="22"/>
        <v>1332</v>
      </c>
      <c r="N135" s="88">
        <f t="shared" si="24"/>
        <v>2664</v>
      </c>
      <c r="O135" s="89">
        <f t="shared" si="25"/>
        <v>5328</v>
      </c>
      <c r="P135" s="87">
        <f t="shared" si="23"/>
        <v>18164</v>
      </c>
      <c r="Q135" s="52">
        <v>4904</v>
      </c>
      <c r="R135" s="58"/>
      <c r="S135" s="58"/>
      <c r="T135" s="71">
        <v>0.5</v>
      </c>
      <c r="U135" s="71">
        <f t="shared" si="21"/>
        <v>2452</v>
      </c>
      <c r="V135" s="50"/>
      <c r="W135" s="51"/>
      <c r="X135" s="65"/>
      <c r="Y135" s="51"/>
      <c r="Z135" s="65"/>
      <c r="AA135" s="50"/>
      <c r="AB135" s="50"/>
      <c r="AC135" s="50"/>
      <c r="AD135" s="50">
        <v>3844947478</v>
      </c>
      <c r="AE135" s="50"/>
      <c r="AF135" s="50"/>
    </row>
    <row r="136" spans="1:32" s="54" customFormat="1" ht="12" x14ac:dyDescent="0.2">
      <c r="A136" s="51" t="s">
        <v>139</v>
      </c>
      <c r="B136" s="50" t="s">
        <v>187</v>
      </c>
      <c r="C136" s="65" t="s">
        <v>235</v>
      </c>
      <c r="D136" s="51">
        <v>60</v>
      </c>
      <c r="E136" s="51">
        <v>12000</v>
      </c>
      <c r="F136" s="51">
        <v>12000</v>
      </c>
      <c r="G136" s="51">
        <v>12</v>
      </c>
      <c r="H136" s="51">
        <v>9</v>
      </c>
      <c r="I136" s="51">
        <v>9</v>
      </c>
      <c r="J136" s="51">
        <v>15</v>
      </c>
      <c r="K136" s="51">
        <v>41</v>
      </c>
      <c r="L136" s="51">
        <v>55</v>
      </c>
      <c r="M136" s="51">
        <f t="shared" si="22"/>
        <v>1044</v>
      </c>
      <c r="N136" s="88">
        <f t="shared" si="24"/>
        <v>2088</v>
      </c>
      <c r="O136" s="89">
        <f t="shared" si="25"/>
        <v>4176</v>
      </c>
      <c r="P136" s="87">
        <f t="shared" si="23"/>
        <v>14088</v>
      </c>
      <c r="Q136" s="52">
        <v>4928</v>
      </c>
      <c r="R136" s="58"/>
      <c r="S136" s="58"/>
      <c r="T136" s="71">
        <v>0.3</v>
      </c>
      <c r="U136" s="71">
        <f t="shared" si="21"/>
        <v>1478.3999999999999</v>
      </c>
      <c r="V136" s="50"/>
      <c r="W136" s="51"/>
      <c r="X136" s="65"/>
      <c r="Y136" s="51"/>
      <c r="Z136" s="65"/>
      <c r="AA136" s="50"/>
      <c r="AB136" s="50"/>
      <c r="AC136" s="50"/>
      <c r="AD136" s="50">
        <v>3844947478</v>
      </c>
      <c r="AE136" s="50"/>
      <c r="AF136" s="50"/>
    </row>
    <row r="137" spans="1:32" s="54" customFormat="1" ht="12" x14ac:dyDescent="0.2">
      <c r="A137" s="51" t="s">
        <v>140</v>
      </c>
      <c r="B137" s="50" t="s">
        <v>256</v>
      </c>
      <c r="C137" s="65" t="s">
        <v>235</v>
      </c>
      <c r="D137" s="51">
        <v>60</v>
      </c>
      <c r="E137" s="51">
        <v>7500</v>
      </c>
      <c r="F137" s="51">
        <v>7500</v>
      </c>
      <c r="G137" s="51">
        <v>0</v>
      </c>
      <c r="H137" s="51">
        <v>6</v>
      </c>
      <c r="I137" s="51">
        <v>6</v>
      </c>
      <c r="J137" s="51">
        <v>15</v>
      </c>
      <c r="K137" s="51">
        <v>41</v>
      </c>
      <c r="L137" s="51">
        <v>55</v>
      </c>
      <c r="M137" s="51">
        <f t="shared" si="22"/>
        <v>576</v>
      </c>
      <c r="N137" s="88">
        <f t="shared" si="24"/>
        <v>1152</v>
      </c>
      <c r="O137" s="89">
        <f t="shared" si="25"/>
        <v>2304</v>
      </c>
      <c r="P137" s="87">
        <f t="shared" si="23"/>
        <v>8652</v>
      </c>
      <c r="Q137" s="52">
        <v>4952</v>
      </c>
      <c r="R137" s="52"/>
      <c r="S137" s="53"/>
      <c r="T137" s="71">
        <v>0.5</v>
      </c>
      <c r="U137" s="71">
        <f t="shared" si="21"/>
        <v>2476</v>
      </c>
      <c r="V137" s="50"/>
      <c r="W137" s="51"/>
      <c r="X137" s="65"/>
      <c r="Y137" s="51"/>
      <c r="Z137" s="65"/>
      <c r="AA137" s="50"/>
      <c r="AB137" s="50"/>
      <c r="AC137" s="50"/>
      <c r="AD137" s="50">
        <v>3844947478</v>
      </c>
      <c r="AE137" s="50"/>
      <c r="AF137" s="50"/>
    </row>
    <row r="138" spans="1:32" s="54" customFormat="1" ht="12" x14ac:dyDescent="0.2">
      <c r="A138" s="51" t="s">
        <v>141</v>
      </c>
      <c r="B138" s="50" t="s">
        <v>142</v>
      </c>
      <c r="C138" s="65" t="s">
        <v>235</v>
      </c>
      <c r="D138" s="51">
        <v>60</v>
      </c>
      <c r="E138" s="51">
        <v>5500</v>
      </c>
      <c r="F138" s="51">
        <v>5500</v>
      </c>
      <c r="G138" s="51">
        <v>6</v>
      </c>
      <c r="H138" s="51">
        <v>4</v>
      </c>
      <c r="I138" s="51">
        <v>4</v>
      </c>
      <c r="J138" s="51">
        <v>15</v>
      </c>
      <c r="K138" s="51">
        <v>41</v>
      </c>
      <c r="L138" s="51">
        <v>55</v>
      </c>
      <c r="M138" s="51">
        <f t="shared" si="22"/>
        <v>474</v>
      </c>
      <c r="N138" s="88">
        <f t="shared" si="24"/>
        <v>948</v>
      </c>
      <c r="O138" s="89">
        <f t="shared" si="25"/>
        <v>1896</v>
      </c>
      <c r="P138" s="87">
        <f t="shared" si="23"/>
        <v>6448</v>
      </c>
      <c r="Q138" s="52">
        <v>4968</v>
      </c>
      <c r="R138" s="52"/>
      <c r="S138" s="52"/>
      <c r="T138" s="71">
        <v>0.5</v>
      </c>
      <c r="U138" s="71">
        <f t="shared" si="21"/>
        <v>2484</v>
      </c>
      <c r="V138" s="50"/>
      <c r="W138" s="51"/>
      <c r="X138" s="65"/>
      <c r="Y138" s="51"/>
      <c r="Z138" s="65"/>
      <c r="AA138" s="50"/>
      <c r="AB138" s="50"/>
      <c r="AC138" s="50"/>
      <c r="AD138" s="50">
        <v>3844947478</v>
      </c>
      <c r="AE138" s="50"/>
      <c r="AF138" s="50"/>
    </row>
    <row r="139" spans="1:32" s="54" customFormat="1" ht="12" x14ac:dyDescent="0.2">
      <c r="A139" s="51" t="s">
        <v>143</v>
      </c>
      <c r="B139" s="50" t="s">
        <v>188</v>
      </c>
      <c r="C139" s="65" t="s">
        <v>235</v>
      </c>
      <c r="D139" s="51">
        <v>60</v>
      </c>
      <c r="E139" s="51">
        <v>5000</v>
      </c>
      <c r="F139" s="51">
        <v>5000</v>
      </c>
      <c r="G139" s="51">
        <v>0</v>
      </c>
      <c r="H139" s="51">
        <v>4</v>
      </c>
      <c r="I139" s="51">
        <v>4</v>
      </c>
      <c r="J139" s="51">
        <v>15</v>
      </c>
      <c r="K139" s="51">
        <v>41</v>
      </c>
      <c r="L139" s="51">
        <v>55</v>
      </c>
      <c r="M139" s="51">
        <f t="shared" si="22"/>
        <v>384</v>
      </c>
      <c r="N139" s="88">
        <f t="shared" si="24"/>
        <v>768</v>
      </c>
      <c r="O139" s="89">
        <f t="shared" si="25"/>
        <v>1536</v>
      </c>
      <c r="P139" s="87">
        <f t="shared" si="23"/>
        <v>5768</v>
      </c>
      <c r="Q139" s="52">
        <v>4968</v>
      </c>
      <c r="R139" s="52"/>
      <c r="S139" s="52"/>
      <c r="T139" s="71">
        <v>0.23</v>
      </c>
      <c r="U139" s="71">
        <f t="shared" si="21"/>
        <v>1142.6400000000001</v>
      </c>
      <c r="V139" s="50"/>
      <c r="W139" s="51"/>
      <c r="X139" s="65"/>
      <c r="Y139" s="51"/>
      <c r="Z139" s="65"/>
      <c r="AA139" s="50"/>
      <c r="AB139" s="50"/>
      <c r="AC139" s="50"/>
      <c r="AD139" s="50">
        <v>3844947478</v>
      </c>
      <c r="AE139" s="50"/>
      <c r="AF139" s="50"/>
    </row>
    <row r="140" spans="1:32" s="54" customFormat="1" ht="12" x14ac:dyDescent="0.2">
      <c r="A140" s="51" t="s">
        <v>144</v>
      </c>
      <c r="B140" s="50" t="s">
        <v>145</v>
      </c>
      <c r="C140" s="65" t="s">
        <v>235</v>
      </c>
      <c r="D140" s="51">
        <v>60</v>
      </c>
      <c r="E140" s="51">
        <v>4000</v>
      </c>
      <c r="F140" s="51">
        <v>4000</v>
      </c>
      <c r="G140" s="51">
        <v>0</v>
      </c>
      <c r="H140" s="51">
        <v>3</v>
      </c>
      <c r="I140" s="51">
        <v>3</v>
      </c>
      <c r="J140" s="51">
        <v>15</v>
      </c>
      <c r="K140" s="51">
        <v>41</v>
      </c>
      <c r="L140" s="51">
        <v>55</v>
      </c>
      <c r="M140" s="51">
        <f t="shared" si="22"/>
        <v>288</v>
      </c>
      <c r="N140" s="88">
        <f t="shared" si="24"/>
        <v>576</v>
      </c>
      <c r="O140" s="89">
        <f t="shared" si="25"/>
        <v>1152</v>
      </c>
      <c r="P140" s="87">
        <f t="shared" si="23"/>
        <v>4576</v>
      </c>
      <c r="Q140" s="52">
        <v>4976</v>
      </c>
      <c r="R140" s="52"/>
      <c r="S140" s="53"/>
      <c r="T140" s="71">
        <v>0.5</v>
      </c>
      <c r="U140" s="71">
        <f t="shared" si="21"/>
        <v>2488</v>
      </c>
      <c r="V140" s="50"/>
      <c r="W140" s="51"/>
      <c r="X140" s="65"/>
      <c r="Y140" s="51"/>
      <c r="Z140" s="65"/>
      <c r="AA140" s="50"/>
      <c r="AB140" s="50"/>
      <c r="AC140" s="50"/>
      <c r="AD140" s="50">
        <v>3844947478</v>
      </c>
      <c r="AE140" s="50"/>
      <c r="AF140" s="50"/>
    </row>
    <row r="141" spans="1:32" s="54" customFormat="1" ht="12" x14ac:dyDescent="0.2">
      <c r="A141" s="51" t="s">
        <v>146</v>
      </c>
      <c r="B141" s="50" t="s">
        <v>147</v>
      </c>
      <c r="C141" s="65" t="s">
        <v>235</v>
      </c>
      <c r="D141" s="51">
        <v>60</v>
      </c>
      <c r="E141" s="51">
        <v>5000</v>
      </c>
      <c r="F141" s="51">
        <v>5000</v>
      </c>
      <c r="G141" s="51">
        <v>2</v>
      </c>
      <c r="H141" s="51">
        <v>4</v>
      </c>
      <c r="I141" s="51">
        <v>4</v>
      </c>
      <c r="J141" s="51">
        <v>15</v>
      </c>
      <c r="K141" s="51">
        <v>41</v>
      </c>
      <c r="L141" s="51">
        <v>55</v>
      </c>
      <c r="M141" s="51">
        <f t="shared" si="22"/>
        <v>414</v>
      </c>
      <c r="N141" s="88">
        <f t="shared" si="24"/>
        <v>828</v>
      </c>
      <c r="O141" s="89">
        <f t="shared" si="25"/>
        <v>1656</v>
      </c>
      <c r="P141" s="87">
        <f t="shared" si="23"/>
        <v>5828</v>
      </c>
      <c r="Q141" s="52">
        <v>4968</v>
      </c>
      <c r="R141" s="52"/>
      <c r="S141" s="52"/>
      <c r="T141" s="71">
        <v>0.5</v>
      </c>
      <c r="U141" s="71">
        <f t="shared" ref="U141:U161" si="26">T141*Q141</f>
        <v>2484</v>
      </c>
      <c r="V141" s="50"/>
      <c r="W141" s="51"/>
      <c r="X141" s="65"/>
      <c r="Y141" s="51"/>
      <c r="Z141" s="65"/>
      <c r="AA141" s="50"/>
      <c r="AB141" s="50"/>
      <c r="AC141" s="50"/>
      <c r="AD141" s="50">
        <v>3844947478</v>
      </c>
      <c r="AE141" s="50"/>
      <c r="AF141" s="50"/>
    </row>
    <row r="142" spans="1:32" s="54" customFormat="1" ht="12" x14ac:dyDescent="0.2">
      <c r="A142" s="51" t="s">
        <v>148</v>
      </c>
      <c r="B142" s="50" t="s">
        <v>189</v>
      </c>
      <c r="C142" s="65" t="s">
        <v>235</v>
      </c>
      <c r="D142" s="51">
        <v>60</v>
      </c>
      <c r="E142" s="51">
        <v>6000</v>
      </c>
      <c r="F142" s="51">
        <v>6000</v>
      </c>
      <c r="G142" s="51">
        <v>0</v>
      </c>
      <c r="H142" s="51">
        <v>5</v>
      </c>
      <c r="I142" s="51">
        <v>5</v>
      </c>
      <c r="J142" s="51">
        <v>15</v>
      </c>
      <c r="K142" s="51">
        <v>41</v>
      </c>
      <c r="L142" s="51">
        <v>55</v>
      </c>
      <c r="M142" s="51">
        <f t="shared" si="22"/>
        <v>480</v>
      </c>
      <c r="N142" s="88">
        <f t="shared" si="24"/>
        <v>960</v>
      </c>
      <c r="O142" s="89">
        <f t="shared" si="25"/>
        <v>1920</v>
      </c>
      <c r="P142" s="87">
        <f t="shared" si="23"/>
        <v>6960</v>
      </c>
      <c r="Q142" s="52">
        <v>4960</v>
      </c>
      <c r="R142" s="52"/>
      <c r="S142" s="52"/>
      <c r="T142" s="71">
        <v>0.5</v>
      </c>
      <c r="U142" s="71">
        <f t="shared" si="26"/>
        <v>2480</v>
      </c>
      <c r="V142" s="50"/>
      <c r="W142" s="51"/>
      <c r="X142" s="65"/>
      <c r="Y142" s="51"/>
      <c r="Z142" s="65"/>
      <c r="AA142" s="50"/>
      <c r="AB142" s="50"/>
      <c r="AC142" s="50"/>
      <c r="AD142" s="50">
        <v>3844947478</v>
      </c>
      <c r="AE142" s="50"/>
      <c r="AF142" s="50"/>
    </row>
    <row r="143" spans="1:32" s="54" customFormat="1" ht="12" x14ac:dyDescent="0.2">
      <c r="A143" s="51" t="s">
        <v>149</v>
      </c>
      <c r="B143" s="50" t="s">
        <v>150</v>
      </c>
      <c r="C143" s="65" t="s">
        <v>235</v>
      </c>
      <c r="D143" s="51">
        <v>60</v>
      </c>
      <c r="E143" s="51">
        <v>5000</v>
      </c>
      <c r="F143" s="51">
        <v>5000</v>
      </c>
      <c r="G143" s="51">
        <v>0</v>
      </c>
      <c r="H143" s="51">
        <v>4</v>
      </c>
      <c r="I143" s="51">
        <v>4</v>
      </c>
      <c r="J143" s="51">
        <v>15</v>
      </c>
      <c r="K143" s="51">
        <v>41</v>
      </c>
      <c r="L143" s="51">
        <v>55</v>
      </c>
      <c r="M143" s="51">
        <f t="shared" si="22"/>
        <v>384</v>
      </c>
      <c r="N143" s="88">
        <f t="shared" si="24"/>
        <v>768</v>
      </c>
      <c r="O143" s="89">
        <f t="shared" si="25"/>
        <v>1536</v>
      </c>
      <c r="P143" s="87">
        <f t="shared" si="23"/>
        <v>5768</v>
      </c>
      <c r="Q143" s="52">
        <v>4968</v>
      </c>
      <c r="R143" s="52"/>
      <c r="S143" s="52"/>
      <c r="T143" s="71">
        <v>0.5</v>
      </c>
      <c r="U143" s="71">
        <f t="shared" si="26"/>
        <v>2484</v>
      </c>
      <c r="V143" s="50"/>
      <c r="W143" s="51"/>
      <c r="X143" s="65"/>
      <c r="Y143" s="51"/>
      <c r="Z143" s="65"/>
      <c r="AA143" s="50"/>
      <c r="AB143" s="50"/>
      <c r="AC143" s="50"/>
      <c r="AD143" s="50">
        <v>3844947478</v>
      </c>
      <c r="AE143" s="50"/>
      <c r="AF143" s="50"/>
    </row>
    <row r="144" spans="1:32" s="54" customFormat="1" ht="12" x14ac:dyDescent="0.2">
      <c r="A144" s="51" t="s">
        <v>190</v>
      </c>
      <c r="B144" s="50" t="s">
        <v>151</v>
      </c>
      <c r="C144" s="65" t="s">
        <v>235</v>
      </c>
      <c r="D144" s="51">
        <v>60</v>
      </c>
      <c r="E144" s="51">
        <v>10500</v>
      </c>
      <c r="F144" s="51">
        <v>10500</v>
      </c>
      <c r="G144" s="51">
        <v>0</v>
      </c>
      <c r="H144" s="51">
        <v>9</v>
      </c>
      <c r="I144" s="51">
        <v>9</v>
      </c>
      <c r="J144" s="51">
        <v>15</v>
      </c>
      <c r="K144" s="51">
        <v>41</v>
      </c>
      <c r="L144" s="51">
        <v>55</v>
      </c>
      <c r="M144" s="51">
        <f t="shared" si="22"/>
        <v>864</v>
      </c>
      <c r="N144" s="88">
        <f t="shared" si="24"/>
        <v>1728</v>
      </c>
      <c r="O144" s="89">
        <f t="shared" si="25"/>
        <v>3456</v>
      </c>
      <c r="P144" s="87">
        <f t="shared" si="23"/>
        <v>12228</v>
      </c>
      <c r="Q144" s="52">
        <v>4928</v>
      </c>
      <c r="R144" s="52"/>
      <c r="S144" s="53"/>
      <c r="T144" s="71">
        <v>0.5</v>
      </c>
      <c r="U144" s="71">
        <f t="shared" si="26"/>
        <v>2464</v>
      </c>
      <c r="V144" s="50"/>
      <c r="W144" s="51"/>
      <c r="X144" s="65"/>
      <c r="Y144" s="51"/>
      <c r="Z144" s="65"/>
      <c r="AA144" s="50"/>
      <c r="AB144" s="50"/>
      <c r="AC144" s="50"/>
      <c r="AD144" s="50">
        <v>3844947478</v>
      </c>
      <c r="AE144" s="50"/>
      <c r="AF144" s="50"/>
    </row>
    <row r="145" spans="1:32" s="54" customFormat="1" ht="12" x14ac:dyDescent="0.2">
      <c r="A145" s="51" t="s">
        <v>317</v>
      </c>
      <c r="B145" s="50" t="s">
        <v>314</v>
      </c>
      <c r="C145" s="65" t="s">
        <v>235</v>
      </c>
      <c r="D145" s="51">
        <v>10</v>
      </c>
      <c r="E145" s="51">
        <v>400</v>
      </c>
      <c r="F145" s="51">
        <v>400</v>
      </c>
      <c r="G145" s="51">
        <v>0</v>
      </c>
      <c r="H145" s="51">
        <v>1</v>
      </c>
      <c r="I145" s="51">
        <v>1</v>
      </c>
      <c r="J145" s="51">
        <v>15</v>
      </c>
      <c r="K145" s="51">
        <v>41</v>
      </c>
      <c r="L145" s="51">
        <v>55</v>
      </c>
      <c r="M145" s="51">
        <f t="shared" si="22"/>
        <v>96</v>
      </c>
      <c r="N145" s="88">
        <v>38</v>
      </c>
      <c r="O145" s="89">
        <f t="shared" si="25"/>
        <v>70</v>
      </c>
      <c r="P145" s="87">
        <f t="shared" si="23"/>
        <v>438</v>
      </c>
      <c r="Q145" s="52">
        <v>4992</v>
      </c>
      <c r="R145" s="52"/>
      <c r="S145" s="52"/>
      <c r="T145" s="71">
        <v>0.5</v>
      </c>
      <c r="U145" s="71">
        <f t="shared" si="26"/>
        <v>2496</v>
      </c>
      <c r="V145" s="50"/>
      <c r="W145" s="51"/>
      <c r="X145" s="65"/>
      <c r="Y145" s="51"/>
      <c r="Z145" s="65"/>
      <c r="AA145" s="50"/>
      <c r="AB145" s="50"/>
      <c r="AC145" s="50"/>
      <c r="AD145" s="50">
        <v>3844947478</v>
      </c>
      <c r="AE145" s="50"/>
      <c r="AF145" s="50"/>
    </row>
    <row r="146" spans="1:32" s="54" customFormat="1" ht="12" x14ac:dyDescent="0.2">
      <c r="A146" s="51"/>
      <c r="B146" s="50" t="s">
        <v>313</v>
      </c>
      <c r="C146" s="65" t="s">
        <v>235</v>
      </c>
      <c r="D146" s="51">
        <v>4</v>
      </c>
      <c r="E146" s="51">
        <v>1000</v>
      </c>
      <c r="F146" s="51">
        <v>1000</v>
      </c>
      <c r="G146" s="51">
        <v>0</v>
      </c>
      <c r="H146" s="51">
        <v>0</v>
      </c>
      <c r="I146" s="51">
        <v>0</v>
      </c>
      <c r="J146" s="51">
        <v>15</v>
      </c>
      <c r="K146" s="51">
        <v>41</v>
      </c>
      <c r="L146" s="51">
        <v>55</v>
      </c>
      <c r="M146" s="51">
        <v>90</v>
      </c>
      <c r="N146" s="88">
        <f t="shared" ref="N146:N169" si="27">(D146/30)*M146</f>
        <v>12</v>
      </c>
      <c r="O146" s="89">
        <f t="shared" si="25"/>
        <v>24</v>
      </c>
      <c r="P146" s="87">
        <f t="shared" si="23"/>
        <v>1012</v>
      </c>
      <c r="Q146" s="52">
        <v>5000</v>
      </c>
      <c r="R146" s="52"/>
      <c r="S146" s="52"/>
      <c r="T146" s="71">
        <v>0.5</v>
      </c>
      <c r="U146" s="71">
        <f t="shared" si="26"/>
        <v>2500</v>
      </c>
      <c r="V146" s="50"/>
      <c r="W146" s="51"/>
      <c r="X146" s="65"/>
      <c r="Y146" s="51"/>
      <c r="Z146" s="65"/>
      <c r="AA146" s="50"/>
      <c r="AB146" s="50"/>
      <c r="AC146" s="50"/>
      <c r="AD146" s="50">
        <v>3844947478</v>
      </c>
      <c r="AE146" s="50"/>
      <c r="AF146" s="50"/>
    </row>
    <row r="147" spans="1:32" s="54" customFormat="1" ht="12" x14ac:dyDescent="0.2">
      <c r="A147" s="51" t="s">
        <v>152</v>
      </c>
      <c r="B147" s="50" t="s">
        <v>153</v>
      </c>
      <c r="C147" s="65" t="s">
        <v>235</v>
      </c>
      <c r="D147" s="51">
        <v>60</v>
      </c>
      <c r="E147" s="51">
        <v>5500</v>
      </c>
      <c r="F147" s="51">
        <v>5500</v>
      </c>
      <c r="G147" s="51">
        <v>4</v>
      </c>
      <c r="H147" s="51">
        <v>4</v>
      </c>
      <c r="I147" s="51">
        <v>4</v>
      </c>
      <c r="J147" s="51">
        <v>15</v>
      </c>
      <c r="K147" s="51">
        <v>41</v>
      </c>
      <c r="L147" s="51">
        <v>55</v>
      </c>
      <c r="M147" s="51">
        <f>(G147*J147)+(H147*K147)+(I147*L147)</f>
        <v>444</v>
      </c>
      <c r="N147" s="88">
        <f t="shared" si="27"/>
        <v>888</v>
      </c>
      <c r="O147" s="89">
        <f t="shared" si="25"/>
        <v>1776</v>
      </c>
      <c r="P147" s="87">
        <f t="shared" si="23"/>
        <v>6388</v>
      </c>
      <c r="Q147" s="52">
        <v>4968</v>
      </c>
      <c r="R147" s="52"/>
      <c r="S147" s="53"/>
      <c r="T147" s="71">
        <v>0.5</v>
      </c>
      <c r="U147" s="71">
        <f t="shared" si="26"/>
        <v>2484</v>
      </c>
      <c r="V147" s="50"/>
      <c r="W147" s="51"/>
      <c r="X147" s="65"/>
      <c r="Y147" s="51"/>
      <c r="Z147" s="65"/>
      <c r="AA147" s="50"/>
      <c r="AB147" s="50"/>
      <c r="AC147" s="50"/>
      <c r="AD147" s="50">
        <v>3844947478</v>
      </c>
      <c r="AE147" s="50"/>
      <c r="AF147" s="50"/>
    </row>
    <row r="148" spans="1:32" s="54" customFormat="1" ht="12" x14ac:dyDescent="0.2">
      <c r="A148" s="51" t="s">
        <v>318</v>
      </c>
      <c r="B148" s="50" t="s">
        <v>258</v>
      </c>
      <c r="C148" s="65" t="s">
        <v>236</v>
      </c>
      <c r="D148" s="51">
        <v>4</v>
      </c>
      <c r="E148" s="51">
        <v>1000</v>
      </c>
      <c r="F148" s="51">
        <v>1000</v>
      </c>
      <c r="G148" s="51">
        <v>0</v>
      </c>
      <c r="H148" s="51">
        <v>0</v>
      </c>
      <c r="I148" s="51">
        <v>0</v>
      </c>
      <c r="J148" s="51">
        <v>15</v>
      </c>
      <c r="K148" s="51">
        <v>41</v>
      </c>
      <c r="L148" s="51">
        <v>55</v>
      </c>
      <c r="M148" s="51">
        <v>90</v>
      </c>
      <c r="N148" s="88">
        <f t="shared" si="27"/>
        <v>12</v>
      </c>
      <c r="O148" s="89">
        <f t="shared" si="25"/>
        <v>24</v>
      </c>
      <c r="P148" s="87">
        <f t="shared" ref="P148:P169" si="28">N148+E148</f>
        <v>1012</v>
      </c>
      <c r="Q148" s="52">
        <v>5000</v>
      </c>
      <c r="R148" s="52"/>
      <c r="S148" s="52"/>
      <c r="T148" s="71">
        <v>0.09</v>
      </c>
      <c r="U148" s="71">
        <f t="shared" si="26"/>
        <v>450</v>
      </c>
      <c r="V148" s="50"/>
      <c r="W148" s="51"/>
      <c r="X148" s="65"/>
      <c r="Y148" s="51"/>
      <c r="Z148" s="65"/>
      <c r="AA148" s="50"/>
      <c r="AB148" s="50"/>
      <c r="AC148" s="50"/>
      <c r="AD148" s="50">
        <v>3844947478</v>
      </c>
      <c r="AE148" s="50"/>
      <c r="AF148" s="50"/>
    </row>
    <row r="149" spans="1:32" s="54" customFormat="1" ht="12" x14ac:dyDescent="0.2">
      <c r="A149" s="51" t="s">
        <v>154</v>
      </c>
      <c r="B149" s="50" t="s">
        <v>155</v>
      </c>
      <c r="C149" s="65" t="s">
        <v>236</v>
      </c>
      <c r="D149" s="51">
        <v>4</v>
      </c>
      <c r="E149" s="51">
        <v>1000</v>
      </c>
      <c r="F149" s="51">
        <v>1000</v>
      </c>
      <c r="G149" s="51">
        <v>0</v>
      </c>
      <c r="H149" s="51">
        <v>2</v>
      </c>
      <c r="I149" s="51">
        <v>2</v>
      </c>
      <c r="J149" s="51">
        <v>15</v>
      </c>
      <c r="K149" s="51">
        <v>41</v>
      </c>
      <c r="L149" s="51">
        <v>55</v>
      </c>
      <c r="M149" s="51">
        <f t="shared" ref="M149:M169" si="29">(G149*J149)+(H149*K149)+(I149*L149)</f>
        <v>192</v>
      </c>
      <c r="N149" s="88">
        <f t="shared" si="27"/>
        <v>25.6</v>
      </c>
      <c r="O149" s="89">
        <f t="shared" si="25"/>
        <v>51.2</v>
      </c>
      <c r="P149" s="87">
        <f t="shared" si="28"/>
        <v>1025.5999999999999</v>
      </c>
      <c r="Q149" s="52">
        <v>4984</v>
      </c>
      <c r="R149" s="52"/>
      <c r="S149" s="52"/>
      <c r="T149" s="71">
        <v>0.08</v>
      </c>
      <c r="U149" s="71">
        <f t="shared" si="26"/>
        <v>398.72</v>
      </c>
      <c r="V149" s="50"/>
      <c r="W149" s="51"/>
      <c r="X149" s="65"/>
      <c r="Y149" s="51"/>
      <c r="Z149" s="65"/>
      <c r="AA149" s="50"/>
      <c r="AB149" s="50"/>
      <c r="AC149" s="50"/>
      <c r="AD149" s="50">
        <v>3844947478</v>
      </c>
      <c r="AE149" s="50"/>
      <c r="AF149" s="50"/>
    </row>
    <row r="150" spans="1:32" s="54" customFormat="1" ht="12" x14ac:dyDescent="0.2">
      <c r="A150" s="51" t="s">
        <v>156</v>
      </c>
      <c r="B150" s="50" t="s">
        <v>257</v>
      </c>
      <c r="C150" s="65" t="s">
        <v>235</v>
      </c>
      <c r="D150" s="51">
        <v>60</v>
      </c>
      <c r="E150" s="51">
        <v>2500</v>
      </c>
      <c r="F150" s="51">
        <v>2500</v>
      </c>
      <c r="G150" s="51">
        <v>0</v>
      </c>
      <c r="H150" s="51">
        <v>2</v>
      </c>
      <c r="I150" s="51">
        <v>2</v>
      </c>
      <c r="J150" s="51">
        <v>15</v>
      </c>
      <c r="K150" s="51">
        <v>41</v>
      </c>
      <c r="L150" s="51">
        <v>55</v>
      </c>
      <c r="M150" s="51">
        <f t="shared" si="29"/>
        <v>192</v>
      </c>
      <c r="N150" s="88">
        <f t="shared" si="27"/>
        <v>384</v>
      </c>
      <c r="O150" s="89">
        <f t="shared" si="25"/>
        <v>768</v>
      </c>
      <c r="P150" s="87">
        <f t="shared" si="28"/>
        <v>2884</v>
      </c>
      <c r="Q150" s="52">
        <v>4984</v>
      </c>
      <c r="R150" s="52"/>
      <c r="S150" s="52"/>
      <c r="T150" s="71">
        <v>0.5</v>
      </c>
      <c r="U150" s="71">
        <f t="shared" si="26"/>
        <v>2492</v>
      </c>
      <c r="V150" s="50"/>
      <c r="W150" s="51"/>
      <c r="X150" s="65"/>
      <c r="Y150" s="51"/>
      <c r="Z150" s="65"/>
      <c r="AA150" s="50"/>
      <c r="AB150" s="50"/>
      <c r="AC150" s="50"/>
      <c r="AD150" s="50">
        <v>3844947478</v>
      </c>
      <c r="AE150" s="50"/>
      <c r="AF150" s="50"/>
    </row>
    <row r="151" spans="1:32" s="54" customFormat="1" ht="12" x14ac:dyDescent="0.2">
      <c r="A151" s="51" t="s">
        <v>157</v>
      </c>
      <c r="B151" s="50" t="s">
        <v>191</v>
      </c>
      <c r="C151" s="65" t="s">
        <v>235</v>
      </c>
      <c r="D151" s="51">
        <v>60</v>
      </c>
      <c r="E151" s="51">
        <v>19000</v>
      </c>
      <c r="F151" s="51">
        <v>19000</v>
      </c>
      <c r="G151" s="51">
        <v>4</v>
      </c>
      <c r="H151" s="51">
        <v>16</v>
      </c>
      <c r="I151" s="51">
        <v>16</v>
      </c>
      <c r="J151" s="51">
        <v>15</v>
      </c>
      <c r="K151" s="51">
        <v>41</v>
      </c>
      <c r="L151" s="51">
        <v>55</v>
      </c>
      <c r="M151" s="51">
        <f t="shared" si="29"/>
        <v>1596</v>
      </c>
      <c r="N151" s="88">
        <f t="shared" si="27"/>
        <v>3192</v>
      </c>
      <c r="O151" s="89">
        <f t="shared" si="25"/>
        <v>6384</v>
      </c>
      <c r="P151" s="87">
        <f t="shared" si="28"/>
        <v>22192</v>
      </c>
      <c r="Q151" s="52">
        <v>4872</v>
      </c>
      <c r="R151" s="52"/>
      <c r="S151" s="53"/>
      <c r="T151" s="71">
        <v>0.5</v>
      </c>
      <c r="U151" s="71">
        <f t="shared" si="26"/>
        <v>2436</v>
      </c>
      <c r="V151" s="50"/>
      <c r="W151" s="51"/>
      <c r="X151" s="65"/>
      <c r="Y151" s="51"/>
      <c r="Z151" s="65"/>
      <c r="AA151" s="50"/>
      <c r="AB151" s="50"/>
      <c r="AC151" s="50"/>
      <c r="AD151" s="50">
        <v>3844947478</v>
      </c>
      <c r="AE151" s="50"/>
      <c r="AF151" s="50"/>
    </row>
    <row r="152" spans="1:32" s="54" customFormat="1" ht="12" x14ac:dyDescent="0.2">
      <c r="A152" s="51" t="s">
        <v>192</v>
      </c>
      <c r="B152" s="50" t="s">
        <v>193</v>
      </c>
      <c r="C152" s="65" t="s">
        <v>235</v>
      </c>
      <c r="D152" s="51">
        <v>60</v>
      </c>
      <c r="E152" s="51">
        <v>500</v>
      </c>
      <c r="F152" s="51">
        <v>500</v>
      </c>
      <c r="G152" s="51">
        <v>0</v>
      </c>
      <c r="H152" s="51">
        <v>1</v>
      </c>
      <c r="I152" s="51">
        <v>0</v>
      </c>
      <c r="J152" s="51">
        <v>15</v>
      </c>
      <c r="K152" s="51">
        <v>41</v>
      </c>
      <c r="L152" s="51">
        <v>55</v>
      </c>
      <c r="M152" s="51">
        <f t="shared" si="29"/>
        <v>41</v>
      </c>
      <c r="N152" s="88">
        <f t="shared" si="27"/>
        <v>82</v>
      </c>
      <c r="O152" s="89">
        <f t="shared" si="25"/>
        <v>164</v>
      </c>
      <c r="P152" s="87">
        <f t="shared" si="28"/>
        <v>582</v>
      </c>
      <c r="Q152" s="52">
        <v>5000</v>
      </c>
      <c r="R152" s="52"/>
      <c r="S152" s="52"/>
      <c r="T152" s="71">
        <v>0.5</v>
      </c>
      <c r="U152" s="71">
        <f t="shared" si="26"/>
        <v>2500</v>
      </c>
      <c r="V152" s="50"/>
      <c r="W152" s="51"/>
      <c r="X152" s="65"/>
      <c r="Y152" s="51"/>
      <c r="Z152" s="65"/>
      <c r="AA152" s="50"/>
      <c r="AB152" s="50"/>
      <c r="AC152" s="50"/>
      <c r="AD152" s="50">
        <v>3844947478</v>
      </c>
      <c r="AE152" s="50"/>
      <c r="AF152" s="50"/>
    </row>
    <row r="153" spans="1:32" s="54" customFormat="1" ht="12" x14ac:dyDescent="0.2">
      <c r="A153" s="51" t="s">
        <v>158</v>
      </c>
      <c r="B153" s="50" t="s">
        <v>245</v>
      </c>
      <c r="C153" s="65" t="s">
        <v>235</v>
      </c>
      <c r="D153" s="51">
        <v>60</v>
      </c>
      <c r="E153" s="51">
        <v>1500</v>
      </c>
      <c r="F153" s="51">
        <v>1200</v>
      </c>
      <c r="G153" s="51">
        <v>0</v>
      </c>
      <c r="H153" s="51">
        <v>1</v>
      </c>
      <c r="I153" s="51">
        <v>1</v>
      </c>
      <c r="J153" s="51">
        <v>15</v>
      </c>
      <c r="K153" s="51">
        <v>41</v>
      </c>
      <c r="L153" s="51">
        <v>55</v>
      </c>
      <c r="M153" s="51">
        <f t="shared" si="29"/>
        <v>96</v>
      </c>
      <c r="N153" s="88">
        <f t="shared" si="27"/>
        <v>192</v>
      </c>
      <c r="O153" s="89">
        <f t="shared" si="25"/>
        <v>384</v>
      </c>
      <c r="P153" s="87">
        <f t="shared" si="28"/>
        <v>1692</v>
      </c>
      <c r="Q153" s="52">
        <v>4992</v>
      </c>
      <c r="R153" s="52"/>
      <c r="S153" s="52"/>
      <c r="T153" s="71">
        <v>0.5</v>
      </c>
      <c r="U153" s="71">
        <f t="shared" si="26"/>
        <v>2496</v>
      </c>
      <c r="V153" s="50"/>
      <c r="W153" s="51"/>
      <c r="X153" s="65"/>
      <c r="Y153" s="51"/>
      <c r="Z153" s="65"/>
      <c r="AA153" s="50"/>
      <c r="AB153" s="50"/>
      <c r="AC153" s="50"/>
      <c r="AD153" s="50">
        <v>3844947478</v>
      </c>
      <c r="AE153" s="50"/>
      <c r="AF153" s="50"/>
    </row>
    <row r="154" spans="1:32" s="54" customFormat="1" ht="12" x14ac:dyDescent="0.2">
      <c r="A154" s="51" t="s">
        <v>159</v>
      </c>
      <c r="B154" s="50" t="s">
        <v>160</v>
      </c>
      <c r="C154" s="65" t="s">
        <v>235</v>
      </c>
      <c r="D154" s="51">
        <v>60</v>
      </c>
      <c r="E154" s="51">
        <v>700</v>
      </c>
      <c r="F154" s="51">
        <v>700</v>
      </c>
      <c r="G154" s="51">
        <v>0</v>
      </c>
      <c r="H154" s="51">
        <v>0</v>
      </c>
      <c r="I154" s="51">
        <v>1</v>
      </c>
      <c r="J154" s="51">
        <v>15</v>
      </c>
      <c r="K154" s="51">
        <v>41</v>
      </c>
      <c r="L154" s="51">
        <v>55</v>
      </c>
      <c r="M154" s="51">
        <f t="shared" si="29"/>
        <v>55</v>
      </c>
      <c r="N154" s="88">
        <f t="shared" si="27"/>
        <v>110</v>
      </c>
      <c r="O154" s="89">
        <f t="shared" si="25"/>
        <v>220</v>
      </c>
      <c r="P154" s="87">
        <f t="shared" si="28"/>
        <v>810</v>
      </c>
      <c r="Q154" s="52">
        <v>4992</v>
      </c>
      <c r="R154" s="52"/>
      <c r="S154" s="52"/>
      <c r="T154" s="71">
        <v>0.5</v>
      </c>
      <c r="U154" s="71">
        <f t="shared" si="26"/>
        <v>2496</v>
      </c>
      <c r="V154" s="50"/>
      <c r="W154" s="51"/>
      <c r="X154" s="65"/>
      <c r="Y154" s="51"/>
      <c r="Z154" s="65"/>
      <c r="AA154" s="50"/>
      <c r="AB154" s="50"/>
      <c r="AC154" s="50"/>
      <c r="AD154" s="50">
        <v>3844947478</v>
      </c>
      <c r="AE154" s="50"/>
      <c r="AF154" s="50"/>
    </row>
    <row r="155" spans="1:32" s="54" customFormat="1" ht="12" x14ac:dyDescent="0.2">
      <c r="A155" s="51" t="s">
        <v>439</v>
      </c>
      <c r="B155" s="50" t="s">
        <v>161</v>
      </c>
      <c r="C155" s="65" t="s">
        <v>235</v>
      </c>
      <c r="D155" s="51">
        <v>60</v>
      </c>
      <c r="E155" s="51">
        <v>5000</v>
      </c>
      <c r="F155" s="51">
        <v>5000</v>
      </c>
      <c r="G155" s="51">
        <v>0</v>
      </c>
      <c r="H155" s="51">
        <v>4</v>
      </c>
      <c r="I155" s="51">
        <v>4</v>
      </c>
      <c r="J155" s="51">
        <v>15</v>
      </c>
      <c r="K155" s="51">
        <v>41</v>
      </c>
      <c r="L155" s="51">
        <v>55</v>
      </c>
      <c r="M155" s="51">
        <f t="shared" si="29"/>
        <v>384</v>
      </c>
      <c r="N155" s="88">
        <f t="shared" si="27"/>
        <v>768</v>
      </c>
      <c r="O155" s="89">
        <f t="shared" si="25"/>
        <v>1536</v>
      </c>
      <c r="P155" s="87">
        <f t="shared" si="28"/>
        <v>5768</v>
      </c>
      <c r="Q155" s="52">
        <v>4968</v>
      </c>
      <c r="R155" s="52"/>
      <c r="S155" s="52"/>
      <c r="T155" s="71">
        <v>0.3</v>
      </c>
      <c r="U155" s="71">
        <f t="shared" si="26"/>
        <v>1490.3999999999999</v>
      </c>
      <c r="V155" s="50"/>
      <c r="W155" s="51"/>
      <c r="X155" s="65"/>
      <c r="Y155" s="51"/>
      <c r="Z155" s="65"/>
      <c r="AA155" s="50"/>
      <c r="AB155" s="50"/>
      <c r="AC155" s="50"/>
      <c r="AD155" s="50">
        <v>3844947478</v>
      </c>
      <c r="AE155" s="50"/>
      <c r="AF155" s="50"/>
    </row>
    <row r="156" spans="1:32" s="54" customFormat="1" ht="12" x14ac:dyDescent="0.2">
      <c r="A156" s="51" t="s">
        <v>197</v>
      </c>
      <c r="B156" s="50" t="s">
        <v>194</v>
      </c>
      <c r="C156" s="65" t="s">
        <v>235</v>
      </c>
      <c r="D156" s="51">
        <v>60</v>
      </c>
      <c r="E156" s="51">
        <v>500</v>
      </c>
      <c r="F156" s="51">
        <v>500</v>
      </c>
      <c r="G156" s="51">
        <v>4</v>
      </c>
      <c r="H156" s="51">
        <v>0</v>
      </c>
      <c r="I156" s="51">
        <v>0</v>
      </c>
      <c r="J156" s="51">
        <v>15</v>
      </c>
      <c r="K156" s="51">
        <v>41</v>
      </c>
      <c r="L156" s="51">
        <v>55</v>
      </c>
      <c r="M156" s="51">
        <f t="shared" si="29"/>
        <v>60</v>
      </c>
      <c r="N156" s="88">
        <f t="shared" si="27"/>
        <v>120</v>
      </c>
      <c r="O156" s="89">
        <f t="shared" si="25"/>
        <v>240</v>
      </c>
      <c r="P156" s="87">
        <f t="shared" si="28"/>
        <v>620</v>
      </c>
      <c r="Q156" s="52">
        <v>5000</v>
      </c>
      <c r="R156" s="52"/>
      <c r="S156" s="52"/>
      <c r="T156" s="71">
        <v>0.4</v>
      </c>
      <c r="U156" s="71">
        <f t="shared" si="26"/>
        <v>2000</v>
      </c>
      <c r="V156" s="50"/>
      <c r="W156" s="51"/>
      <c r="X156" s="65"/>
      <c r="Y156" s="51"/>
      <c r="Z156" s="65"/>
      <c r="AA156" s="50"/>
      <c r="AB156" s="50"/>
      <c r="AC156" s="50"/>
      <c r="AD156" s="50">
        <v>3844947478</v>
      </c>
      <c r="AE156" s="50"/>
      <c r="AF156" s="50"/>
    </row>
    <row r="157" spans="1:32" s="54" customFormat="1" ht="12" x14ac:dyDescent="0.2">
      <c r="A157" s="51" t="s">
        <v>162</v>
      </c>
      <c r="B157" s="50" t="s">
        <v>163</v>
      </c>
      <c r="C157" s="65" t="s">
        <v>237</v>
      </c>
      <c r="D157" s="51">
        <v>40</v>
      </c>
      <c r="E157" s="51">
        <v>400</v>
      </c>
      <c r="F157" s="51">
        <v>740</v>
      </c>
      <c r="G157" s="51">
        <v>2</v>
      </c>
      <c r="H157" s="51">
        <v>2</v>
      </c>
      <c r="I157" s="51">
        <v>2</v>
      </c>
      <c r="J157" s="51">
        <v>15</v>
      </c>
      <c r="K157" s="51">
        <v>41</v>
      </c>
      <c r="L157" s="51">
        <v>55</v>
      </c>
      <c r="M157" s="51">
        <f t="shared" si="29"/>
        <v>222</v>
      </c>
      <c r="N157" s="88">
        <f t="shared" si="27"/>
        <v>296</v>
      </c>
      <c r="O157" s="89">
        <f t="shared" si="25"/>
        <v>592</v>
      </c>
      <c r="P157" s="87">
        <f t="shared" si="28"/>
        <v>696</v>
      </c>
      <c r="Q157" s="52">
        <v>4984</v>
      </c>
      <c r="R157" s="52"/>
      <c r="S157" s="53"/>
      <c r="T157" s="71">
        <v>12.05</v>
      </c>
      <c r="U157" s="71">
        <f t="shared" si="26"/>
        <v>60057.200000000004</v>
      </c>
      <c r="V157" s="50"/>
      <c r="W157" s="51"/>
      <c r="X157" s="65"/>
      <c r="Y157" s="51"/>
      <c r="Z157" s="65"/>
      <c r="AA157" s="50"/>
      <c r="AB157" s="50"/>
      <c r="AC157" s="50"/>
      <c r="AD157" s="50">
        <v>2206687930</v>
      </c>
      <c r="AE157" s="50"/>
      <c r="AF157" s="50"/>
    </row>
    <row r="158" spans="1:32" s="54" customFormat="1" ht="12" x14ac:dyDescent="0.2">
      <c r="A158" s="51" t="s">
        <v>164</v>
      </c>
      <c r="B158" s="65" t="s">
        <v>165</v>
      </c>
      <c r="C158" s="65" t="s">
        <v>238</v>
      </c>
      <c r="D158" s="51">
        <v>30</v>
      </c>
      <c r="E158" s="51">
        <v>500</v>
      </c>
      <c r="F158" s="51">
        <v>700</v>
      </c>
      <c r="G158" s="51">
        <v>0</v>
      </c>
      <c r="H158" s="51">
        <v>2</v>
      </c>
      <c r="I158" s="51">
        <v>2</v>
      </c>
      <c r="J158" s="51">
        <v>15</v>
      </c>
      <c r="K158" s="51">
        <v>41</v>
      </c>
      <c r="L158" s="51">
        <v>55</v>
      </c>
      <c r="M158" s="51">
        <f t="shared" si="29"/>
        <v>192</v>
      </c>
      <c r="N158" s="88">
        <f t="shared" si="27"/>
        <v>192</v>
      </c>
      <c r="O158" s="89">
        <f t="shared" si="25"/>
        <v>384</v>
      </c>
      <c r="P158" s="87">
        <f t="shared" si="28"/>
        <v>692</v>
      </c>
      <c r="Q158" s="52">
        <v>4984</v>
      </c>
      <c r="R158" s="52"/>
      <c r="S158" s="52"/>
      <c r="T158" s="71">
        <v>0.8</v>
      </c>
      <c r="U158" s="71">
        <f t="shared" si="26"/>
        <v>3987.2000000000003</v>
      </c>
      <c r="V158" s="50"/>
      <c r="W158" s="51"/>
      <c r="X158" s="65"/>
      <c r="Y158" s="51"/>
      <c r="Z158" s="65"/>
      <c r="AA158" s="50"/>
      <c r="AB158" s="50"/>
      <c r="AC158" s="50"/>
      <c r="AD158" s="50"/>
      <c r="AE158" s="50"/>
      <c r="AF158" s="50"/>
    </row>
    <row r="159" spans="1:32" s="54" customFormat="1" ht="12" x14ac:dyDescent="0.2">
      <c r="A159" s="51" t="s">
        <v>166</v>
      </c>
      <c r="B159" s="65" t="s">
        <v>167</v>
      </c>
      <c r="C159" s="65" t="s">
        <v>236</v>
      </c>
      <c r="D159" s="51">
        <v>15</v>
      </c>
      <c r="E159" s="51">
        <v>1000</v>
      </c>
      <c r="F159" s="51">
        <v>2000</v>
      </c>
      <c r="G159" s="51">
        <v>0</v>
      </c>
      <c r="H159" s="51">
        <v>7</v>
      </c>
      <c r="I159" s="51">
        <v>6</v>
      </c>
      <c r="J159" s="51">
        <v>15</v>
      </c>
      <c r="K159" s="51">
        <v>41</v>
      </c>
      <c r="L159" s="51">
        <v>55</v>
      </c>
      <c r="M159" s="51">
        <f t="shared" si="29"/>
        <v>617</v>
      </c>
      <c r="N159" s="88">
        <f t="shared" si="27"/>
        <v>308.5</v>
      </c>
      <c r="O159" s="89">
        <f t="shared" si="25"/>
        <v>617</v>
      </c>
      <c r="P159" s="87">
        <f t="shared" si="28"/>
        <v>1308.5</v>
      </c>
      <c r="Q159" s="52">
        <v>4952</v>
      </c>
      <c r="R159" s="52"/>
      <c r="S159" s="52"/>
      <c r="T159" s="71">
        <v>0.5</v>
      </c>
      <c r="U159" s="71">
        <f t="shared" si="26"/>
        <v>2476</v>
      </c>
      <c r="V159" s="50"/>
      <c r="W159" s="51"/>
      <c r="X159" s="65"/>
      <c r="Y159" s="51"/>
      <c r="Z159" s="65"/>
      <c r="AA159" s="50"/>
      <c r="AB159" s="50"/>
      <c r="AC159" s="50"/>
      <c r="AD159" s="50">
        <v>2204408055</v>
      </c>
      <c r="AE159" s="50"/>
      <c r="AF159" s="50"/>
    </row>
    <row r="160" spans="1:32" s="54" customFormat="1" ht="12" x14ac:dyDescent="0.2">
      <c r="A160" s="51" t="s">
        <v>195</v>
      </c>
      <c r="B160" s="50" t="s">
        <v>168</v>
      </c>
      <c r="C160" s="65" t="s">
        <v>239</v>
      </c>
      <c r="D160" s="51">
        <v>15</v>
      </c>
      <c r="E160" s="51">
        <v>60</v>
      </c>
      <c r="F160" s="51">
        <v>30</v>
      </c>
      <c r="G160" s="51">
        <v>0</v>
      </c>
      <c r="H160" s="51">
        <v>0.1</v>
      </c>
      <c r="I160" s="51">
        <v>0.1</v>
      </c>
      <c r="J160" s="51">
        <v>15</v>
      </c>
      <c r="K160" s="51">
        <v>41</v>
      </c>
      <c r="L160" s="51">
        <v>55</v>
      </c>
      <c r="M160" s="51">
        <f t="shared" si="29"/>
        <v>9.6000000000000014</v>
      </c>
      <c r="N160" s="88">
        <f t="shared" si="27"/>
        <v>4.8000000000000007</v>
      </c>
      <c r="O160" s="89">
        <f t="shared" si="25"/>
        <v>9.6000000000000014</v>
      </c>
      <c r="P160" s="87">
        <f t="shared" si="28"/>
        <v>64.8</v>
      </c>
      <c r="Q160" s="52">
        <v>5000</v>
      </c>
      <c r="R160" s="52"/>
      <c r="S160" s="52"/>
      <c r="T160" s="71">
        <v>0.7</v>
      </c>
      <c r="U160" s="71">
        <f t="shared" si="26"/>
        <v>3500</v>
      </c>
      <c r="V160" s="50"/>
      <c r="W160" s="51"/>
      <c r="X160" s="65"/>
      <c r="Y160" s="51"/>
      <c r="Z160" s="65"/>
      <c r="AA160" s="50"/>
      <c r="AB160" s="50"/>
      <c r="AC160" s="50"/>
      <c r="AD160" s="50"/>
      <c r="AE160" s="50"/>
      <c r="AF160" s="50"/>
    </row>
    <row r="161" spans="1:32" s="54" customFormat="1" ht="12" x14ac:dyDescent="0.2">
      <c r="A161" s="51" t="s">
        <v>169</v>
      </c>
      <c r="B161" s="65" t="s">
        <v>247</v>
      </c>
      <c r="C161" s="65" t="s">
        <v>240</v>
      </c>
      <c r="D161" s="51">
        <v>30</v>
      </c>
      <c r="E161" s="51">
        <v>500</v>
      </c>
      <c r="F161" s="51">
        <v>500</v>
      </c>
      <c r="G161" s="51">
        <v>0</v>
      </c>
      <c r="H161" s="51">
        <v>1</v>
      </c>
      <c r="I161" s="51">
        <v>1</v>
      </c>
      <c r="J161" s="51">
        <v>15</v>
      </c>
      <c r="K161" s="51">
        <v>41</v>
      </c>
      <c r="L161" s="51">
        <v>55</v>
      </c>
      <c r="M161" s="51">
        <f t="shared" si="29"/>
        <v>96</v>
      </c>
      <c r="N161" s="88">
        <f t="shared" si="27"/>
        <v>96</v>
      </c>
      <c r="O161" s="89">
        <f t="shared" si="25"/>
        <v>192</v>
      </c>
      <c r="P161" s="87">
        <f t="shared" si="28"/>
        <v>596</v>
      </c>
      <c r="Q161" s="52">
        <v>4992</v>
      </c>
      <c r="R161" s="52"/>
      <c r="S161" s="52"/>
      <c r="T161" s="71">
        <v>5</v>
      </c>
      <c r="U161" s="71">
        <f t="shared" si="26"/>
        <v>24960</v>
      </c>
      <c r="V161" s="50"/>
      <c r="W161" s="51"/>
      <c r="X161" s="65"/>
      <c r="Y161" s="51"/>
      <c r="Z161" s="65"/>
      <c r="AA161" s="50"/>
      <c r="AB161" s="50"/>
      <c r="AC161" s="50"/>
      <c r="AD161" s="50">
        <v>3889672515</v>
      </c>
      <c r="AE161" s="50"/>
      <c r="AF161" s="50"/>
    </row>
    <row r="162" spans="1:32" s="54" customFormat="1" ht="12" x14ac:dyDescent="0.2">
      <c r="A162" s="51" t="s">
        <v>123</v>
      </c>
      <c r="B162" s="65" t="s">
        <v>472</v>
      </c>
      <c r="C162" s="65" t="s">
        <v>228</v>
      </c>
      <c r="D162" s="51">
        <v>30</v>
      </c>
      <c r="E162" s="51">
        <v>100</v>
      </c>
      <c r="F162" s="51">
        <v>100</v>
      </c>
      <c r="G162" s="51">
        <v>1</v>
      </c>
      <c r="H162" s="51">
        <v>0</v>
      </c>
      <c r="I162" s="51">
        <v>0</v>
      </c>
      <c r="J162" s="51">
        <v>15</v>
      </c>
      <c r="K162" s="51">
        <v>41</v>
      </c>
      <c r="L162" s="51">
        <v>55</v>
      </c>
      <c r="M162" s="51">
        <f t="shared" si="29"/>
        <v>15</v>
      </c>
      <c r="N162" s="88">
        <f t="shared" si="27"/>
        <v>15</v>
      </c>
      <c r="O162" s="89">
        <f t="shared" si="25"/>
        <v>30</v>
      </c>
      <c r="P162" s="87">
        <f t="shared" si="28"/>
        <v>115</v>
      </c>
      <c r="Q162" s="52">
        <v>5000</v>
      </c>
      <c r="R162" s="52"/>
      <c r="S162" s="52"/>
      <c r="T162" s="71"/>
      <c r="U162" s="71"/>
      <c r="V162" s="50"/>
      <c r="W162" s="51"/>
      <c r="X162" s="65"/>
      <c r="Y162" s="51"/>
      <c r="Z162" s="65"/>
      <c r="AA162" s="50"/>
      <c r="AB162" s="50"/>
      <c r="AC162" s="50"/>
      <c r="AD162" s="50">
        <v>2206324429</v>
      </c>
      <c r="AE162" s="50"/>
      <c r="AF162" s="50"/>
    </row>
    <row r="163" spans="1:32" s="54" customFormat="1" ht="12" x14ac:dyDescent="0.2">
      <c r="A163" s="51"/>
      <c r="B163" s="65" t="s">
        <v>248</v>
      </c>
      <c r="C163" s="65" t="s">
        <v>240</v>
      </c>
      <c r="D163" s="51">
        <v>30</v>
      </c>
      <c r="E163" s="51">
        <v>100</v>
      </c>
      <c r="F163" s="51">
        <v>100</v>
      </c>
      <c r="G163" s="51">
        <v>1</v>
      </c>
      <c r="H163" s="51">
        <v>0</v>
      </c>
      <c r="I163" s="51">
        <v>0</v>
      </c>
      <c r="J163" s="51">
        <v>15</v>
      </c>
      <c r="K163" s="51">
        <v>41</v>
      </c>
      <c r="L163" s="51">
        <v>55</v>
      </c>
      <c r="M163" s="51">
        <f t="shared" si="29"/>
        <v>15</v>
      </c>
      <c r="N163" s="88">
        <f t="shared" si="27"/>
        <v>15</v>
      </c>
      <c r="O163" s="89">
        <f t="shared" si="25"/>
        <v>30</v>
      </c>
      <c r="P163" s="87">
        <f t="shared" si="28"/>
        <v>115</v>
      </c>
      <c r="Q163" s="52">
        <v>5000</v>
      </c>
      <c r="R163" s="52"/>
      <c r="S163" s="53"/>
      <c r="T163" s="71">
        <v>5</v>
      </c>
      <c r="U163" s="71">
        <f t="shared" ref="U163:U169" si="30">T163*Q163</f>
        <v>25000</v>
      </c>
      <c r="V163" s="50"/>
      <c r="W163" s="51"/>
      <c r="X163" s="65"/>
      <c r="Y163" s="51"/>
      <c r="Z163" s="65"/>
      <c r="AA163" s="50"/>
      <c r="AB163" s="50"/>
      <c r="AC163" s="50"/>
      <c r="AD163" s="50">
        <v>3889672515</v>
      </c>
      <c r="AE163" s="50"/>
      <c r="AF163" s="50"/>
    </row>
    <row r="164" spans="1:32" s="54" customFormat="1" ht="12" x14ac:dyDescent="0.2">
      <c r="A164" s="51" t="s">
        <v>170</v>
      </c>
      <c r="B164" s="65" t="s">
        <v>171</v>
      </c>
      <c r="C164" s="65" t="s">
        <v>241</v>
      </c>
      <c r="D164" s="51">
        <v>15</v>
      </c>
      <c r="E164" s="51">
        <v>200</v>
      </c>
      <c r="F164" s="51">
        <v>300</v>
      </c>
      <c r="G164" s="51">
        <v>2</v>
      </c>
      <c r="H164" s="51">
        <v>2</v>
      </c>
      <c r="I164" s="51">
        <v>1</v>
      </c>
      <c r="J164" s="51">
        <v>15</v>
      </c>
      <c r="K164" s="51">
        <v>41</v>
      </c>
      <c r="L164" s="51">
        <v>55</v>
      </c>
      <c r="M164" s="51">
        <f t="shared" si="29"/>
        <v>167</v>
      </c>
      <c r="N164" s="88">
        <f t="shared" si="27"/>
        <v>83.5</v>
      </c>
      <c r="O164" s="89">
        <f t="shared" si="25"/>
        <v>167</v>
      </c>
      <c r="P164" s="87">
        <f t="shared" si="28"/>
        <v>283.5</v>
      </c>
      <c r="Q164" s="52">
        <v>4992</v>
      </c>
      <c r="R164" s="52"/>
      <c r="S164" s="53"/>
      <c r="T164" s="71">
        <v>2.9</v>
      </c>
      <c r="U164" s="71">
        <f t="shared" si="30"/>
        <v>14476.8</v>
      </c>
      <c r="V164" s="50"/>
      <c r="W164" s="51"/>
      <c r="X164" s="65"/>
      <c r="Y164" s="51"/>
      <c r="Z164" s="65"/>
      <c r="AA164" s="50"/>
      <c r="AB164" s="50"/>
      <c r="AC164" s="50"/>
      <c r="AD164" s="50">
        <v>3339642978</v>
      </c>
      <c r="AE164" s="50"/>
      <c r="AF164" s="50"/>
    </row>
    <row r="165" spans="1:32" s="54" customFormat="1" ht="12" x14ac:dyDescent="0.2">
      <c r="A165" s="51" t="s">
        <v>172</v>
      </c>
      <c r="B165" s="65" t="s">
        <v>173</v>
      </c>
      <c r="C165" s="65" t="s">
        <v>241</v>
      </c>
      <c r="D165" s="51">
        <v>15</v>
      </c>
      <c r="E165" s="51">
        <v>200</v>
      </c>
      <c r="F165" s="51">
        <v>300</v>
      </c>
      <c r="G165" s="51">
        <v>1</v>
      </c>
      <c r="H165" s="51">
        <v>1</v>
      </c>
      <c r="I165" s="51">
        <v>1</v>
      </c>
      <c r="J165" s="51">
        <v>15</v>
      </c>
      <c r="K165" s="51">
        <v>41</v>
      </c>
      <c r="L165" s="51">
        <v>55</v>
      </c>
      <c r="M165" s="51">
        <f t="shared" si="29"/>
        <v>111</v>
      </c>
      <c r="N165" s="88">
        <f t="shared" si="27"/>
        <v>55.5</v>
      </c>
      <c r="O165" s="89">
        <f t="shared" si="25"/>
        <v>111</v>
      </c>
      <c r="P165" s="87">
        <f t="shared" si="28"/>
        <v>255.5</v>
      </c>
      <c r="Q165" s="52">
        <v>4992</v>
      </c>
      <c r="R165" s="52"/>
      <c r="S165" s="52"/>
      <c r="T165" s="71">
        <v>2.5</v>
      </c>
      <c r="U165" s="71">
        <f t="shared" si="30"/>
        <v>12480</v>
      </c>
      <c r="V165" s="50"/>
      <c r="W165" s="51"/>
      <c r="X165" s="65"/>
      <c r="Y165" s="51"/>
      <c r="Z165" s="65"/>
      <c r="AA165" s="50"/>
      <c r="AB165" s="50"/>
      <c r="AC165" s="50"/>
      <c r="AD165" s="50">
        <v>3339642978</v>
      </c>
      <c r="AE165" s="50"/>
      <c r="AF165" s="50"/>
    </row>
    <row r="166" spans="1:32" s="54" customFormat="1" ht="12" x14ac:dyDescent="0.2">
      <c r="A166" s="51" t="s">
        <v>174</v>
      </c>
      <c r="B166" s="65" t="s">
        <v>175</v>
      </c>
      <c r="C166" s="65" t="s">
        <v>241</v>
      </c>
      <c r="D166" s="51">
        <v>15</v>
      </c>
      <c r="E166" s="51">
        <v>200</v>
      </c>
      <c r="F166" s="51">
        <v>300</v>
      </c>
      <c r="G166" s="51">
        <v>1</v>
      </c>
      <c r="H166" s="51">
        <v>1</v>
      </c>
      <c r="I166" s="51">
        <v>1</v>
      </c>
      <c r="J166" s="51">
        <v>15</v>
      </c>
      <c r="K166" s="51">
        <v>41</v>
      </c>
      <c r="L166" s="51">
        <v>55</v>
      </c>
      <c r="M166" s="51">
        <f t="shared" si="29"/>
        <v>111</v>
      </c>
      <c r="N166" s="88">
        <f t="shared" si="27"/>
        <v>55.5</v>
      </c>
      <c r="O166" s="89">
        <f t="shared" si="25"/>
        <v>111</v>
      </c>
      <c r="P166" s="87">
        <f t="shared" si="28"/>
        <v>255.5</v>
      </c>
      <c r="Q166" s="52">
        <v>4992</v>
      </c>
      <c r="R166" s="52"/>
      <c r="S166" s="52"/>
      <c r="T166" s="71">
        <v>2.5</v>
      </c>
      <c r="U166" s="71">
        <f t="shared" si="30"/>
        <v>12480</v>
      </c>
      <c r="V166" s="50"/>
      <c r="W166" s="51"/>
      <c r="X166" s="65"/>
      <c r="Y166" s="51"/>
      <c r="Z166" s="65"/>
      <c r="AA166" s="50"/>
      <c r="AB166" s="50"/>
      <c r="AC166" s="50"/>
      <c r="AD166" s="50">
        <v>3339642978</v>
      </c>
      <c r="AE166" s="50"/>
      <c r="AF166" s="50"/>
    </row>
    <row r="167" spans="1:32" s="54" customFormat="1" ht="12" x14ac:dyDescent="0.2">
      <c r="A167" s="51" t="s">
        <v>176</v>
      </c>
      <c r="B167" s="65" t="s">
        <v>196</v>
      </c>
      <c r="C167" s="65" t="s">
        <v>241</v>
      </c>
      <c r="D167" s="51">
        <v>15</v>
      </c>
      <c r="E167" s="51">
        <v>200</v>
      </c>
      <c r="F167" s="51">
        <v>300</v>
      </c>
      <c r="G167" s="51">
        <v>0</v>
      </c>
      <c r="H167" s="51">
        <v>1</v>
      </c>
      <c r="I167" s="51">
        <v>1</v>
      </c>
      <c r="J167" s="51">
        <v>15</v>
      </c>
      <c r="K167" s="51">
        <v>41</v>
      </c>
      <c r="L167" s="51">
        <v>55</v>
      </c>
      <c r="M167" s="51">
        <f t="shared" si="29"/>
        <v>96</v>
      </c>
      <c r="N167" s="88">
        <f t="shared" si="27"/>
        <v>48</v>
      </c>
      <c r="O167" s="89">
        <f t="shared" si="25"/>
        <v>96</v>
      </c>
      <c r="P167" s="87">
        <f t="shared" si="28"/>
        <v>248</v>
      </c>
      <c r="Q167" s="52">
        <v>4992</v>
      </c>
      <c r="R167" s="52"/>
      <c r="S167" s="52"/>
      <c r="T167" s="71">
        <v>3.6</v>
      </c>
      <c r="U167" s="71">
        <f t="shared" si="30"/>
        <v>17971.2</v>
      </c>
      <c r="V167" s="50"/>
      <c r="W167" s="51"/>
      <c r="X167" s="65"/>
      <c r="Y167" s="51"/>
      <c r="Z167" s="65"/>
      <c r="AA167" s="50"/>
      <c r="AB167" s="50"/>
      <c r="AC167" s="50"/>
      <c r="AD167" s="50">
        <v>3339642978</v>
      </c>
      <c r="AE167" s="50"/>
      <c r="AF167" s="50"/>
    </row>
    <row r="168" spans="1:32" s="54" customFormat="1" ht="12" x14ac:dyDescent="0.2">
      <c r="A168" s="51" t="s">
        <v>200</v>
      </c>
      <c r="B168" s="50" t="s">
        <v>242</v>
      </c>
      <c r="C168" s="65" t="s">
        <v>228</v>
      </c>
      <c r="D168" s="51">
        <v>40</v>
      </c>
      <c r="E168" s="51">
        <v>200</v>
      </c>
      <c r="F168" s="51">
        <v>400</v>
      </c>
      <c r="G168" s="51">
        <v>0</v>
      </c>
      <c r="H168" s="51">
        <v>1</v>
      </c>
      <c r="I168" s="51">
        <v>1</v>
      </c>
      <c r="J168" s="51">
        <v>15</v>
      </c>
      <c r="K168" s="51">
        <v>41</v>
      </c>
      <c r="L168" s="51">
        <v>55</v>
      </c>
      <c r="M168" s="51">
        <f t="shared" si="29"/>
        <v>96</v>
      </c>
      <c r="N168" s="88">
        <f t="shared" si="27"/>
        <v>128</v>
      </c>
      <c r="O168" s="89">
        <f t="shared" si="25"/>
        <v>256</v>
      </c>
      <c r="P168" s="87">
        <f t="shared" si="28"/>
        <v>328</v>
      </c>
      <c r="Q168" s="52">
        <v>4992</v>
      </c>
      <c r="R168" s="52"/>
      <c r="S168" s="53"/>
      <c r="T168" s="71">
        <v>21.6</v>
      </c>
      <c r="U168" s="71">
        <f t="shared" si="30"/>
        <v>107827.20000000001</v>
      </c>
      <c r="V168" s="50"/>
      <c r="W168" s="51"/>
      <c r="X168" s="65"/>
      <c r="Y168" s="51"/>
      <c r="Z168" s="65"/>
      <c r="AA168" s="50"/>
      <c r="AB168" s="50"/>
      <c r="AC168" s="50"/>
      <c r="AD168" s="50">
        <v>2206324429</v>
      </c>
      <c r="AE168" s="50"/>
      <c r="AF168" s="50"/>
    </row>
    <row r="169" spans="1:32" s="54" customFormat="1" ht="12" x14ac:dyDescent="0.2">
      <c r="A169" s="51" t="s">
        <v>201</v>
      </c>
      <c r="B169" s="50" t="s">
        <v>203</v>
      </c>
      <c r="C169" s="65" t="s">
        <v>235</v>
      </c>
      <c r="D169" s="51">
        <v>60</v>
      </c>
      <c r="E169" s="51">
        <v>1500</v>
      </c>
      <c r="F169" s="51">
        <v>1000</v>
      </c>
      <c r="G169" s="51">
        <v>0</v>
      </c>
      <c r="H169" s="51">
        <v>1</v>
      </c>
      <c r="I169" s="51">
        <v>1</v>
      </c>
      <c r="J169" s="51">
        <v>15</v>
      </c>
      <c r="K169" s="51">
        <v>41</v>
      </c>
      <c r="L169" s="51">
        <v>55</v>
      </c>
      <c r="M169" s="51">
        <f t="shared" si="29"/>
        <v>96</v>
      </c>
      <c r="N169" s="88">
        <f t="shared" si="27"/>
        <v>192</v>
      </c>
      <c r="O169" s="89">
        <f t="shared" si="25"/>
        <v>384</v>
      </c>
      <c r="P169" s="87">
        <f t="shared" si="28"/>
        <v>1692</v>
      </c>
      <c r="Q169" s="52">
        <v>4992</v>
      </c>
      <c r="R169" s="52"/>
      <c r="S169" s="52"/>
      <c r="T169" s="71">
        <v>0.5</v>
      </c>
      <c r="U169" s="71">
        <f t="shared" si="30"/>
        <v>2496</v>
      </c>
      <c r="V169" s="50"/>
      <c r="W169" s="51"/>
      <c r="X169" s="65"/>
      <c r="Y169" s="51"/>
      <c r="Z169" s="65"/>
      <c r="AA169" s="50"/>
      <c r="AB169" s="50"/>
      <c r="AC169" s="50"/>
      <c r="AD169" s="50">
        <v>3844947478</v>
      </c>
      <c r="AE169" s="50"/>
      <c r="AF169" s="50"/>
    </row>
    <row r="170" spans="1:32" s="54" customFormat="1" ht="12" x14ac:dyDescent="0.2">
      <c r="A170" s="51"/>
      <c r="B170" s="50"/>
      <c r="C170" s="65"/>
      <c r="D170" s="51"/>
      <c r="E170" s="51"/>
      <c r="F170" s="51"/>
      <c r="G170" s="51"/>
      <c r="H170" s="51"/>
      <c r="I170" s="51"/>
      <c r="J170" s="50"/>
      <c r="K170" s="50"/>
      <c r="L170" s="50"/>
      <c r="M170" s="50"/>
      <c r="N170" s="50"/>
      <c r="O170" s="50"/>
      <c r="P170" s="50"/>
      <c r="Q170" s="51"/>
      <c r="R170" s="51"/>
      <c r="S170" s="51"/>
      <c r="T170" s="72"/>
      <c r="U170" s="72"/>
      <c r="V170" s="50"/>
      <c r="W170" s="51"/>
      <c r="X170" s="65"/>
      <c r="Y170" s="51"/>
      <c r="Z170" s="65"/>
      <c r="AA170" s="50"/>
      <c r="AB170" s="50"/>
      <c r="AC170" s="50"/>
      <c r="AD170" s="50"/>
      <c r="AE170" s="50"/>
      <c r="AF170" s="50"/>
    </row>
    <row r="171" spans="1:32" s="54" customFormat="1" ht="12" x14ac:dyDescent="0.2">
      <c r="A171" s="51"/>
      <c r="B171" s="50"/>
      <c r="C171" s="65"/>
      <c r="D171" s="51"/>
      <c r="E171" s="51"/>
      <c r="F171" s="51"/>
      <c r="G171" s="51"/>
      <c r="H171" s="51"/>
      <c r="I171" s="51"/>
      <c r="J171" s="50"/>
      <c r="K171" s="50"/>
      <c r="L171" s="50"/>
      <c r="M171" s="50"/>
      <c r="N171" s="50"/>
      <c r="O171" s="50"/>
      <c r="P171" s="50"/>
      <c r="Q171" s="51"/>
      <c r="R171" s="51"/>
      <c r="S171" s="51"/>
      <c r="T171" s="72"/>
      <c r="U171" s="72"/>
      <c r="V171" s="50"/>
      <c r="W171" s="51"/>
      <c r="X171" s="65"/>
      <c r="Y171" s="51"/>
      <c r="Z171" s="65"/>
      <c r="AA171" s="50"/>
      <c r="AB171" s="50"/>
      <c r="AC171" s="50"/>
      <c r="AD171" s="50"/>
      <c r="AE171" s="50"/>
      <c r="AF171" s="50"/>
    </row>
    <row r="172" spans="1:32" s="54" customFormat="1" ht="12" x14ac:dyDescent="0.2">
      <c r="A172" s="51"/>
      <c r="B172" s="50"/>
      <c r="C172" s="65"/>
      <c r="D172" s="51"/>
      <c r="E172" s="51"/>
      <c r="F172" s="51"/>
      <c r="G172" s="51"/>
      <c r="H172" s="51"/>
      <c r="I172" s="51"/>
      <c r="J172" s="50"/>
      <c r="K172" s="50"/>
      <c r="L172" s="50"/>
      <c r="M172" s="50"/>
      <c r="N172" s="50"/>
      <c r="O172" s="50"/>
      <c r="P172" s="50"/>
      <c r="Q172" s="51"/>
      <c r="R172" s="51"/>
      <c r="S172" s="51"/>
      <c r="T172" s="72"/>
      <c r="U172" s="72"/>
      <c r="V172" s="50"/>
      <c r="W172" s="51"/>
      <c r="X172" s="65"/>
      <c r="Y172" s="51"/>
      <c r="Z172" s="65"/>
      <c r="AA172" s="50"/>
      <c r="AB172" s="50"/>
      <c r="AC172" s="50"/>
      <c r="AD172" s="50"/>
      <c r="AE172" s="50"/>
      <c r="AF172" s="50"/>
    </row>
    <row r="173" spans="1:32" s="54" customFormat="1" ht="12" x14ac:dyDescent="0.2">
      <c r="A173" s="51"/>
      <c r="B173" s="50"/>
      <c r="C173" s="65"/>
      <c r="D173" s="51"/>
      <c r="E173" s="51"/>
      <c r="F173" s="51"/>
      <c r="G173" s="51"/>
      <c r="H173" s="51"/>
      <c r="I173" s="51"/>
      <c r="J173" s="50"/>
      <c r="K173" s="50"/>
      <c r="L173" s="50"/>
      <c r="M173" s="50"/>
      <c r="N173" s="50"/>
      <c r="O173" s="50"/>
      <c r="P173" s="50"/>
      <c r="Q173" s="51"/>
      <c r="R173" s="51"/>
      <c r="S173" s="51"/>
      <c r="T173" s="72"/>
      <c r="U173" s="72"/>
      <c r="V173" s="50"/>
      <c r="W173" s="51"/>
      <c r="X173" s="65"/>
      <c r="Y173" s="51"/>
      <c r="Z173" s="65"/>
      <c r="AA173" s="50"/>
      <c r="AB173" s="50"/>
      <c r="AC173" s="50"/>
      <c r="AD173" s="50"/>
      <c r="AE173" s="50"/>
      <c r="AF173" s="50"/>
    </row>
    <row r="174" spans="1:32" s="54" customFormat="1" ht="12" x14ac:dyDescent="0.2">
      <c r="A174" s="51"/>
      <c r="B174" s="50"/>
      <c r="C174" s="65"/>
      <c r="D174" s="51"/>
      <c r="E174" s="51"/>
      <c r="F174" s="51"/>
      <c r="G174" s="51"/>
      <c r="H174" s="51"/>
      <c r="I174" s="51"/>
      <c r="J174" s="50"/>
      <c r="K174" s="50"/>
      <c r="L174" s="50"/>
      <c r="M174" s="50"/>
      <c r="N174" s="50"/>
      <c r="O174" s="50"/>
      <c r="P174" s="50"/>
      <c r="Q174" s="51"/>
      <c r="R174" s="51"/>
      <c r="S174" s="51"/>
      <c r="T174" s="72"/>
      <c r="U174" s="72"/>
      <c r="V174" s="50"/>
      <c r="W174" s="51"/>
      <c r="X174" s="65"/>
      <c r="Y174" s="51"/>
      <c r="Z174" s="65"/>
      <c r="AA174" s="50"/>
      <c r="AB174" s="50"/>
      <c r="AC174" s="50"/>
      <c r="AD174" s="50"/>
      <c r="AE174" s="50"/>
      <c r="AF174" s="50"/>
    </row>
    <row r="175" spans="1:32" ht="12" x14ac:dyDescent="0.2">
      <c r="T175" s="73"/>
      <c r="U175" s="73"/>
      <c r="V175" s="78"/>
      <c r="W175" s="81"/>
      <c r="X175" s="84"/>
      <c r="Y175" s="81"/>
    </row>
    <row r="176" spans="1:32" ht="12" x14ac:dyDescent="0.2">
      <c r="T176" s="73"/>
      <c r="U176" s="73"/>
      <c r="V176" s="78"/>
      <c r="W176" s="81"/>
      <c r="X176" s="84"/>
      <c r="Y176" s="81"/>
    </row>
    <row r="177" spans="20:25" ht="12" x14ac:dyDescent="0.2">
      <c r="T177" s="73"/>
      <c r="U177" s="73"/>
      <c r="V177" s="78"/>
      <c r="W177" s="81"/>
      <c r="X177" s="84"/>
      <c r="Y177" s="81"/>
    </row>
    <row r="178" spans="20:25" ht="12" x14ac:dyDescent="0.2">
      <c r="T178" s="73"/>
      <c r="U178" s="73"/>
      <c r="V178" s="78"/>
      <c r="W178" s="81"/>
      <c r="X178" s="84"/>
      <c r="Y178" s="81"/>
    </row>
    <row r="179" spans="20:25" ht="12" x14ac:dyDescent="0.2">
      <c r="T179" s="73"/>
      <c r="U179" s="73"/>
      <c r="V179" s="78"/>
      <c r="W179" s="81"/>
      <c r="X179" s="84"/>
      <c r="Y179" s="81"/>
    </row>
    <row r="180" spans="20:25" ht="12" x14ac:dyDescent="0.2">
      <c r="T180" s="73"/>
      <c r="U180" s="73"/>
      <c r="V180" s="78"/>
      <c r="W180" s="81"/>
      <c r="X180" s="84"/>
      <c r="Y180" s="81"/>
    </row>
    <row r="181" spans="20:25" ht="12" x14ac:dyDescent="0.2">
      <c r="T181" s="73"/>
      <c r="U181" s="73"/>
      <c r="V181" s="78"/>
      <c r="W181" s="81"/>
      <c r="X181" s="84"/>
      <c r="Y181" s="81"/>
    </row>
    <row r="182" spans="20:25" ht="12" x14ac:dyDescent="0.2">
      <c r="T182" s="73"/>
      <c r="U182" s="73"/>
      <c r="V182" s="78"/>
      <c r="W182" s="81"/>
      <c r="X182" s="84"/>
      <c r="Y182" s="81"/>
    </row>
    <row r="183" spans="20:25" ht="12" x14ac:dyDescent="0.2">
      <c r="T183" s="73"/>
      <c r="U183" s="73"/>
      <c r="V183" s="78"/>
      <c r="W183" s="81"/>
      <c r="X183" s="84"/>
      <c r="Y183" s="81"/>
    </row>
    <row r="184" spans="20:25" ht="12" x14ac:dyDescent="0.2">
      <c r="T184" s="73"/>
      <c r="U184" s="73"/>
      <c r="V184" s="78"/>
      <c r="W184" s="81"/>
      <c r="X184" s="84"/>
      <c r="Y184" s="81"/>
    </row>
    <row r="185" spans="20:25" ht="12" x14ac:dyDescent="0.2">
      <c r="T185" s="73"/>
      <c r="U185" s="73"/>
      <c r="V185" s="78"/>
      <c r="W185" s="81"/>
      <c r="X185" s="84"/>
      <c r="Y185" s="81"/>
    </row>
    <row r="186" spans="20:25" ht="12" x14ac:dyDescent="0.2">
      <c r="T186" s="73"/>
      <c r="U186" s="73"/>
      <c r="V186" s="78"/>
      <c r="W186" s="81"/>
      <c r="X186" s="84"/>
      <c r="Y186" s="81"/>
    </row>
    <row r="187" spans="20:25" ht="12" x14ac:dyDescent="0.2">
      <c r="T187" s="73"/>
      <c r="U187" s="73"/>
      <c r="V187" s="78"/>
      <c r="W187" s="81"/>
      <c r="X187" s="84"/>
      <c r="Y187" s="81"/>
    </row>
    <row r="188" spans="20:25" ht="12" x14ac:dyDescent="0.2">
      <c r="T188" s="73"/>
      <c r="U188" s="73"/>
      <c r="V188" s="78"/>
      <c r="W188" s="81"/>
      <c r="X188" s="84"/>
      <c r="Y188" s="81"/>
    </row>
    <row r="189" spans="20:25" ht="12" x14ac:dyDescent="0.2">
      <c r="T189" s="73"/>
      <c r="U189" s="73"/>
      <c r="V189" s="78"/>
      <c r="W189" s="81"/>
      <c r="X189" s="84"/>
      <c r="Y189" s="81"/>
    </row>
    <row r="190" spans="20:25" x14ac:dyDescent="0.2">
      <c r="T190" s="74"/>
      <c r="U190" s="74"/>
      <c r="V190" s="79"/>
      <c r="W190" s="82"/>
      <c r="X190" s="85"/>
      <c r="Y190" s="82"/>
    </row>
    <row r="191" spans="20:25" x14ac:dyDescent="0.2">
      <c r="T191" s="74"/>
      <c r="U191" s="74"/>
      <c r="V191" s="79"/>
      <c r="W191" s="82"/>
      <c r="X191" s="85"/>
      <c r="Y191" s="82"/>
    </row>
    <row r="192" spans="20:25" x14ac:dyDescent="0.2">
      <c r="T192" s="74"/>
      <c r="U192" s="74"/>
      <c r="V192" s="79"/>
      <c r="W192" s="82"/>
      <c r="X192" s="85"/>
      <c r="Y192" s="82"/>
    </row>
    <row r="193" spans="20:25" x14ac:dyDescent="0.2">
      <c r="T193" s="74"/>
      <c r="U193" s="74"/>
      <c r="V193" s="79"/>
      <c r="W193" s="82"/>
      <c r="X193" s="85"/>
      <c r="Y193" s="82"/>
    </row>
    <row r="194" spans="20:25" x14ac:dyDescent="0.2">
      <c r="T194" s="74"/>
      <c r="U194" s="74"/>
      <c r="V194" s="79"/>
      <c r="W194" s="82"/>
      <c r="X194" s="85"/>
      <c r="Y194" s="82"/>
    </row>
    <row r="195" spans="20:25" x14ac:dyDescent="0.2">
      <c r="T195" s="74"/>
      <c r="U195" s="74"/>
      <c r="V195" s="79"/>
      <c r="W195" s="82"/>
      <c r="X195" s="85"/>
      <c r="Y195" s="82"/>
    </row>
    <row r="196" spans="20:25" x14ac:dyDescent="0.2">
      <c r="T196" s="74"/>
      <c r="U196" s="74"/>
      <c r="V196" s="79"/>
      <c r="W196" s="82"/>
      <c r="X196" s="85"/>
      <c r="Y196" s="82"/>
    </row>
    <row r="197" spans="20:25" x14ac:dyDescent="0.2">
      <c r="T197" s="74"/>
      <c r="U197" s="74"/>
      <c r="V197" s="79"/>
      <c r="W197" s="82"/>
      <c r="X197" s="85"/>
      <c r="Y197" s="82"/>
    </row>
    <row r="198" spans="20:25" x14ac:dyDescent="0.2">
      <c r="T198" s="74"/>
      <c r="U198" s="74"/>
      <c r="V198" s="79"/>
      <c r="W198" s="82"/>
      <c r="X198" s="85"/>
      <c r="Y198" s="82"/>
    </row>
    <row r="199" spans="20:25" x14ac:dyDescent="0.2">
      <c r="T199" s="74"/>
      <c r="U199" s="74"/>
      <c r="V199" s="79"/>
      <c r="W199" s="82"/>
      <c r="X199" s="85"/>
      <c r="Y199" s="82"/>
    </row>
    <row r="200" spans="20:25" x14ac:dyDescent="0.2">
      <c r="T200" s="74"/>
      <c r="U200" s="74"/>
      <c r="V200" s="79"/>
      <c r="W200" s="82"/>
      <c r="X200" s="85"/>
      <c r="Y200" s="82"/>
    </row>
    <row r="201" spans="20:25" x14ac:dyDescent="0.2">
      <c r="T201" s="74"/>
      <c r="U201" s="74"/>
      <c r="V201" s="79"/>
      <c r="W201" s="82"/>
      <c r="X201" s="85"/>
      <c r="Y201" s="82"/>
    </row>
    <row r="202" spans="20:25" x14ac:dyDescent="0.2">
      <c r="T202" s="74"/>
      <c r="U202" s="74"/>
      <c r="V202" s="79"/>
      <c r="W202" s="82"/>
      <c r="X202" s="85"/>
      <c r="Y202" s="82"/>
    </row>
    <row r="203" spans="20:25" x14ac:dyDescent="0.2">
      <c r="T203" s="74"/>
      <c r="U203" s="74"/>
      <c r="V203" s="79"/>
      <c r="W203" s="82"/>
      <c r="X203" s="85"/>
      <c r="Y203" s="82"/>
    </row>
    <row r="204" spans="20:25" x14ac:dyDescent="0.2">
      <c r="T204" s="74"/>
      <c r="U204" s="74"/>
      <c r="V204" s="79"/>
      <c r="W204" s="82"/>
      <c r="X204" s="85"/>
      <c r="Y204" s="82"/>
    </row>
    <row r="205" spans="20:25" x14ac:dyDescent="0.2">
      <c r="T205" s="74"/>
      <c r="U205" s="74"/>
      <c r="V205" s="79"/>
      <c r="W205" s="82"/>
      <c r="X205" s="85"/>
      <c r="Y205" s="82"/>
    </row>
    <row r="206" spans="20:25" x14ac:dyDescent="0.2">
      <c r="T206" s="74"/>
      <c r="U206" s="74"/>
      <c r="V206" s="79"/>
      <c r="W206" s="82"/>
      <c r="X206" s="85"/>
      <c r="Y206" s="82"/>
    </row>
    <row r="207" spans="20:25" x14ac:dyDescent="0.2">
      <c r="T207" s="74"/>
      <c r="U207" s="74"/>
      <c r="V207" s="79"/>
      <c r="W207" s="82"/>
      <c r="X207" s="85"/>
      <c r="Y207" s="82"/>
    </row>
    <row r="208" spans="20:25" x14ac:dyDescent="0.2">
      <c r="T208" s="74"/>
      <c r="U208" s="74"/>
      <c r="V208" s="79"/>
      <c r="W208" s="82"/>
      <c r="X208" s="85"/>
      <c r="Y208" s="82"/>
    </row>
    <row r="209" spans="20:25" x14ac:dyDescent="0.2">
      <c r="T209" s="74"/>
      <c r="U209" s="74"/>
      <c r="V209" s="79"/>
      <c r="W209" s="82"/>
      <c r="X209" s="85"/>
      <c r="Y209" s="82"/>
    </row>
    <row r="210" spans="20:25" x14ac:dyDescent="0.2">
      <c r="T210" s="74"/>
      <c r="U210" s="74"/>
      <c r="V210" s="79"/>
      <c r="W210" s="82"/>
      <c r="X210" s="85"/>
      <c r="Y210" s="82"/>
    </row>
    <row r="211" spans="20:25" x14ac:dyDescent="0.2">
      <c r="T211" s="74"/>
      <c r="U211" s="74"/>
      <c r="V211" s="79"/>
      <c r="W211" s="82"/>
      <c r="X211" s="85"/>
      <c r="Y211" s="82"/>
    </row>
    <row r="212" spans="20:25" x14ac:dyDescent="0.2">
      <c r="T212" s="74"/>
      <c r="U212" s="74"/>
      <c r="V212" s="79"/>
      <c r="W212" s="82"/>
      <c r="X212" s="85"/>
      <c r="Y212" s="82"/>
    </row>
    <row r="213" spans="20:25" x14ac:dyDescent="0.2">
      <c r="T213" s="74"/>
      <c r="U213" s="74"/>
      <c r="V213" s="79"/>
      <c r="W213" s="82"/>
      <c r="X213" s="85"/>
      <c r="Y213" s="82"/>
    </row>
    <row r="214" spans="20:25" x14ac:dyDescent="0.2">
      <c r="T214" s="74"/>
      <c r="U214" s="74"/>
      <c r="V214" s="79"/>
      <c r="W214" s="82"/>
      <c r="X214" s="85"/>
      <c r="Y214" s="82"/>
    </row>
    <row r="215" spans="20:25" x14ac:dyDescent="0.2">
      <c r="T215" s="74"/>
      <c r="U215" s="74"/>
      <c r="V215" s="79"/>
      <c r="W215" s="82"/>
      <c r="X215" s="85"/>
      <c r="Y215" s="82"/>
    </row>
    <row r="216" spans="20:25" x14ac:dyDescent="0.2">
      <c r="T216" s="74"/>
      <c r="U216" s="74"/>
      <c r="V216" s="79"/>
      <c r="W216" s="82"/>
      <c r="X216" s="85"/>
      <c r="Y216" s="82"/>
    </row>
    <row r="217" spans="20:25" x14ac:dyDescent="0.2">
      <c r="T217" s="74"/>
      <c r="U217" s="74"/>
      <c r="V217" s="79"/>
      <c r="W217" s="82"/>
      <c r="X217" s="85"/>
      <c r="Y217" s="82"/>
    </row>
    <row r="218" spans="20:25" x14ac:dyDescent="0.2">
      <c r="T218" s="74"/>
      <c r="U218" s="74"/>
      <c r="V218" s="79"/>
      <c r="W218" s="82"/>
      <c r="X218" s="85"/>
      <c r="Y218" s="82"/>
    </row>
    <row r="219" spans="20:25" x14ac:dyDescent="0.2">
      <c r="T219" s="74"/>
      <c r="U219" s="74"/>
      <c r="V219" s="79"/>
      <c r="W219" s="82"/>
      <c r="X219" s="85"/>
      <c r="Y219" s="82"/>
    </row>
    <row r="220" spans="20:25" x14ac:dyDescent="0.2">
      <c r="T220" s="74"/>
      <c r="U220" s="74"/>
      <c r="V220" s="79"/>
      <c r="W220" s="82"/>
      <c r="X220" s="85"/>
      <c r="Y220" s="82"/>
    </row>
    <row r="221" spans="20:25" x14ac:dyDescent="0.2">
      <c r="T221" s="74"/>
      <c r="U221" s="74"/>
      <c r="V221" s="79"/>
      <c r="W221" s="82"/>
      <c r="X221" s="85"/>
      <c r="Y221" s="82"/>
    </row>
    <row r="222" spans="20:25" x14ac:dyDescent="0.2">
      <c r="T222" s="74"/>
      <c r="U222" s="74"/>
      <c r="V222" s="79"/>
      <c r="W222" s="82"/>
      <c r="X222" s="85"/>
      <c r="Y222" s="82"/>
    </row>
    <row r="223" spans="20:25" x14ac:dyDescent="0.2">
      <c r="T223" s="74"/>
      <c r="U223" s="74"/>
      <c r="V223" s="79"/>
      <c r="W223" s="82"/>
      <c r="X223" s="85"/>
      <c r="Y223" s="82"/>
    </row>
    <row r="224" spans="20:25" x14ac:dyDescent="0.2">
      <c r="T224" s="74"/>
      <c r="U224" s="74"/>
      <c r="V224" s="79"/>
      <c r="W224" s="82"/>
      <c r="X224" s="85"/>
      <c r="Y224" s="82"/>
    </row>
    <row r="225" spans="20:25" x14ac:dyDescent="0.2">
      <c r="T225" s="74"/>
      <c r="U225" s="74"/>
      <c r="V225" s="79"/>
      <c r="W225" s="82"/>
      <c r="X225" s="85"/>
      <c r="Y225" s="82"/>
    </row>
    <row r="226" spans="20:25" x14ac:dyDescent="0.2">
      <c r="T226" s="74"/>
      <c r="U226" s="74"/>
      <c r="V226" s="79"/>
      <c r="W226" s="82"/>
      <c r="X226" s="85"/>
      <c r="Y226" s="82"/>
    </row>
    <row r="227" spans="20:25" x14ac:dyDescent="0.2">
      <c r="T227" s="74"/>
      <c r="U227" s="74"/>
      <c r="V227" s="79"/>
      <c r="W227" s="82"/>
      <c r="X227" s="85"/>
      <c r="Y227" s="82"/>
    </row>
    <row r="228" spans="20:25" x14ac:dyDescent="0.2">
      <c r="T228" s="74"/>
      <c r="U228" s="74"/>
      <c r="V228" s="79"/>
      <c r="W228" s="82"/>
      <c r="X228" s="85"/>
      <c r="Y228" s="82"/>
    </row>
    <row r="229" spans="20:25" x14ac:dyDescent="0.2">
      <c r="T229" s="74"/>
      <c r="U229" s="74"/>
      <c r="V229" s="79"/>
      <c r="W229" s="82"/>
      <c r="X229" s="85"/>
      <c r="Y229" s="82"/>
    </row>
    <row r="230" spans="20:25" x14ac:dyDescent="0.2">
      <c r="T230" s="74"/>
      <c r="U230" s="74"/>
      <c r="V230" s="79"/>
      <c r="W230" s="82"/>
      <c r="X230" s="85"/>
      <c r="Y230" s="82"/>
    </row>
    <row r="231" spans="20:25" x14ac:dyDescent="0.2">
      <c r="T231" s="74"/>
      <c r="U231" s="74"/>
      <c r="V231" s="79"/>
      <c r="W231" s="82"/>
      <c r="X231" s="85"/>
      <c r="Y231" s="82"/>
    </row>
    <row r="232" spans="20:25" x14ac:dyDescent="0.2">
      <c r="T232" s="74"/>
      <c r="U232" s="74"/>
      <c r="V232" s="79"/>
      <c r="W232" s="82"/>
      <c r="X232" s="85"/>
      <c r="Y232" s="82"/>
    </row>
    <row r="233" spans="20:25" x14ac:dyDescent="0.2">
      <c r="T233" s="74"/>
      <c r="U233" s="74"/>
      <c r="V233" s="79"/>
      <c r="W233" s="82"/>
      <c r="X233" s="85"/>
      <c r="Y233" s="82"/>
    </row>
    <row r="234" spans="20:25" x14ac:dyDescent="0.2">
      <c r="T234" s="74"/>
      <c r="U234" s="74"/>
      <c r="V234" s="79"/>
      <c r="W234" s="82"/>
      <c r="X234" s="85"/>
      <c r="Y234" s="82"/>
    </row>
    <row r="235" spans="20:25" x14ac:dyDescent="0.2">
      <c r="T235" s="74"/>
      <c r="U235" s="74"/>
      <c r="V235" s="79"/>
      <c r="W235" s="82"/>
      <c r="X235" s="85"/>
      <c r="Y235" s="82"/>
    </row>
    <row r="236" spans="20:25" x14ac:dyDescent="0.2">
      <c r="T236" s="74"/>
      <c r="U236" s="74"/>
      <c r="V236" s="79"/>
      <c r="W236" s="82"/>
      <c r="X236" s="85"/>
      <c r="Y236" s="82"/>
    </row>
    <row r="237" spans="20:25" x14ac:dyDescent="0.2">
      <c r="T237" s="74"/>
      <c r="U237" s="74"/>
      <c r="V237" s="79"/>
      <c r="W237" s="82"/>
      <c r="X237" s="85"/>
      <c r="Y237" s="82"/>
    </row>
    <row r="238" spans="20:25" x14ac:dyDescent="0.2">
      <c r="T238" s="74"/>
      <c r="U238" s="74"/>
      <c r="V238" s="79"/>
      <c r="W238" s="82"/>
      <c r="X238" s="85"/>
      <c r="Y238" s="82"/>
    </row>
    <row r="239" spans="20:25" x14ac:dyDescent="0.2">
      <c r="T239" s="74"/>
      <c r="U239" s="74"/>
      <c r="V239" s="79"/>
      <c r="W239" s="82"/>
      <c r="X239" s="85"/>
      <c r="Y239" s="82"/>
    </row>
    <row r="240" spans="20:25" x14ac:dyDescent="0.2">
      <c r="T240" s="74"/>
      <c r="U240" s="74"/>
      <c r="V240" s="79"/>
      <c r="W240" s="82"/>
      <c r="X240" s="85"/>
      <c r="Y240" s="82"/>
    </row>
    <row r="241" spans="20:25" x14ac:dyDescent="0.2">
      <c r="T241" s="74"/>
      <c r="U241" s="74"/>
      <c r="V241" s="79"/>
      <c r="W241" s="82"/>
      <c r="X241" s="85"/>
      <c r="Y241" s="82"/>
    </row>
    <row r="242" spans="20:25" x14ac:dyDescent="0.2">
      <c r="T242" s="74"/>
      <c r="U242" s="74"/>
      <c r="V242" s="79"/>
      <c r="W242" s="82"/>
      <c r="X242" s="85"/>
      <c r="Y242" s="82"/>
    </row>
    <row r="243" spans="20:25" x14ac:dyDescent="0.2">
      <c r="T243" s="74"/>
      <c r="U243" s="74"/>
      <c r="V243" s="79"/>
      <c r="W243" s="82"/>
      <c r="X243" s="85"/>
      <c r="Y243" s="82"/>
    </row>
    <row r="244" spans="20:25" x14ac:dyDescent="0.2">
      <c r="T244" s="74"/>
      <c r="U244" s="74"/>
      <c r="V244" s="79"/>
      <c r="W244" s="82"/>
      <c r="X244" s="85"/>
      <c r="Y244" s="82"/>
    </row>
    <row r="245" spans="20:25" x14ac:dyDescent="0.2">
      <c r="T245" s="74"/>
      <c r="U245" s="74"/>
      <c r="V245" s="79"/>
      <c r="W245" s="82"/>
      <c r="X245" s="85"/>
      <c r="Y245" s="82"/>
    </row>
    <row r="246" spans="20:25" x14ac:dyDescent="0.2">
      <c r="T246" s="74"/>
      <c r="U246" s="74"/>
      <c r="V246" s="79"/>
      <c r="W246" s="82"/>
      <c r="X246" s="85"/>
      <c r="Y246" s="82"/>
    </row>
  </sheetData>
  <mergeCells count="15">
    <mergeCell ref="A2:AF4"/>
    <mergeCell ref="A1:AF1"/>
    <mergeCell ref="R5:R6"/>
    <mergeCell ref="S5:S6"/>
    <mergeCell ref="B5:B6"/>
    <mergeCell ref="C5:C6"/>
    <mergeCell ref="D5:D6"/>
    <mergeCell ref="E5:E6"/>
    <mergeCell ref="Q5:Q6"/>
    <mergeCell ref="J5:L5"/>
    <mergeCell ref="M5:M6"/>
    <mergeCell ref="N5:N6"/>
    <mergeCell ref="O5:O6"/>
    <mergeCell ref="P5:P6"/>
    <mergeCell ref="F5:F6"/>
  </mergeCells>
  <phoneticPr fontId="0" type="noConversion"/>
  <conditionalFormatting sqref="Q7:S7 Q8:Q169">
    <cfRule type="colorScale" priority="165">
      <colorScale>
        <cfvo type="num" val="$N$7"/>
        <cfvo type="num" val="$O$7"/>
        <cfvo type="num" val="$P$7"/>
        <color rgb="FFFF0000"/>
        <color rgb="FFFFFF00"/>
        <color rgb="FF00B050"/>
      </colorScale>
    </cfRule>
  </conditionalFormatting>
  <conditionalFormatting sqref="R8:S8">
    <cfRule type="colorScale" priority="164">
      <colorScale>
        <cfvo type="num" val="$N$8"/>
        <cfvo type="num" val="$O$8"/>
        <cfvo type="num" val="$P$8"/>
        <color rgb="FFFF0000"/>
        <color rgb="FFFFFF00"/>
        <color rgb="FF00B050"/>
      </colorScale>
    </cfRule>
  </conditionalFormatting>
  <conditionalFormatting sqref="R9:S9">
    <cfRule type="colorScale" priority="163">
      <colorScale>
        <cfvo type="num" val="$N$9"/>
        <cfvo type="num" val="$O$9"/>
        <cfvo type="num" val="$P$9"/>
        <color rgb="FFFF0000"/>
        <color rgb="FFFFFF00"/>
        <color rgb="FF00B050"/>
      </colorScale>
    </cfRule>
  </conditionalFormatting>
  <conditionalFormatting sqref="R10:S10">
    <cfRule type="colorScale" priority="162">
      <colorScale>
        <cfvo type="num" val="$N$10"/>
        <cfvo type="num" val="$O$10"/>
        <cfvo type="num" val="$P$10"/>
        <color rgb="FFFF0000"/>
        <color rgb="FFFFFF00"/>
        <color rgb="FF00B050"/>
      </colorScale>
    </cfRule>
  </conditionalFormatting>
  <conditionalFormatting sqref="R11:S11">
    <cfRule type="colorScale" priority="161">
      <colorScale>
        <cfvo type="num" val="$N$11"/>
        <cfvo type="num" val="$O$11"/>
        <cfvo type="num" val="$P$11"/>
        <color rgb="FFFF0000"/>
        <color rgb="FFFFFF00"/>
        <color rgb="FF00B050"/>
      </colorScale>
    </cfRule>
  </conditionalFormatting>
  <conditionalFormatting sqref="R12:S12">
    <cfRule type="colorScale" priority="160">
      <colorScale>
        <cfvo type="num" val="$N$12"/>
        <cfvo type="num" val="$O$12"/>
        <cfvo type="num" val="$P$12"/>
        <color rgb="FFFF0000"/>
        <color rgb="FFFFFF00"/>
        <color rgb="FF00B050"/>
      </colorScale>
    </cfRule>
  </conditionalFormatting>
  <conditionalFormatting sqref="R13:S13">
    <cfRule type="colorScale" priority="159">
      <colorScale>
        <cfvo type="num" val="$N$13"/>
        <cfvo type="num" val="$O$13"/>
        <cfvo type="num" val="$P$13"/>
        <color rgb="FFFF0000"/>
        <color rgb="FFFFFF00"/>
        <color rgb="FF00B050"/>
      </colorScale>
    </cfRule>
  </conditionalFormatting>
  <conditionalFormatting sqref="R14:S14">
    <cfRule type="colorScale" priority="158">
      <colorScale>
        <cfvo type="num" val="$N$14"/>
        <cfvo type="num" val="$O$14"/>
        <cfvo type="num" val="$P$14"/>
        <color rgb="FFFF0000"/>
        <color rgb="FFFFFF00"/>
        <color rgb="FF00B050"/>
      </colorScale>
    </cfRule>
  </conditionalFormatting>
  <conditionalFormatting sqref="R15:S15">
    <cfRule type="colorScale" priority="157">
      <colorScale>
        <cfvo type="num" val="$N$15"/>
        <cfvo type="num" val="$O$15"/>
        <cfvo type="num" val="$P$15"/>
        <color rgb="FFFF0000"/>
        <color rgb="FFFFFF00"/>
        <color rgb="FF00B050"/>
      </colorScale>
    </cfRule>
  </conditionalFormatting>
  <conditionalFormatting sqref="R16:S16">
    <cfRule type="colorScale" priority="156">
      <colorScale>
        <cfvo type="num" val="$N$16"/>
        <cfvo type="num" val="$O$16"/>
        <cfvo type="num" val="$P$16"/>
        <color rgb="FFFF0000"/>
        <color rgb="FFFFFF00"/>
        <color rgb="FF00B050"/>
      </colorScale>
    </cfRule>
  </conditionalFormatting>
  <conditionalFormatting sqref="R17:S17">
    <cfRule type="colorScale" priority="155">
      <colorScale>
        <cfvo type="num" val="$N$17"/>
        <cfvo type="num" val="$O$17"/>
        <cfvo type="num" val="$P$17"/>
        <color rgb="FFFF0000"/>
        <color rgb="FFFFFF00"/>
        <color rgb="FF00B050"/>
      </colorScale>
    </cfRule>
  </conditionalFormatting>
  <conditionalFormatting sqref="R18:S18">
    <cfRule type="colorScale" priority="154">
      <colorScale>
        <cfvo type="num" val="$N$18"/>
        <cfvo type="num" val="$O$18"/>
        <cfvo type="num" val="$P$18"/>
        <color rgb="FFFF0000"/>
        <color rgb="FFFFFF00"/>
        <color rgb="FF00B050"/>
      </colorScale>
    </cfRule>
  </conditionalFormatting>
  <conditionalFormatting sqref="R19:S19">
    <cfRule type="colorScale" priority="153">
      <colorScale>
        <cfvo type="num" val="$N$19"/>
        <cfvo type="num" val="$O$19"/>
        <cfvo type="num" val="$P$19"/>
        <color rgb="FFFF0000"/>
        <color rgb="FFFFFF00"/>
        <color rgb="FF00B050"/>
      </colorScale>
    </cfRule>
  </conditionalFormatting>
  <conditionalFormatting sqref="R20:S20">
    <cfRule type="colorScale" priority="152">
      <colorScale>
        <cfvo type="num" val="$N$20"/>
        <cfvo type="num" val="$O$20"/>
        <cfvo type="num" val="$P$20"/>
        <color rgb="FFFF0000"/>
        <color rgb="FFFFFF00"/>
        <color rgb="FF00B050"/>
      </colorScale>
    </cfRule>
  </conditionalFormatting>
  <conditionalFormatting sqref="R21:S21">
    <cfRule type="colorScale" priority="151">
      <colorScale>
        <cfvo type="num" val="$N$21"/>
        <cfvo type="num" val="$O$21"/>
        <cfvo type="num" val="$P$21"/>
        <color rgb="FFFF0000"/>
        <color rgb="FFFFFF00"/>
        <color rgb="FF00B050"/>
      </colorScale>
    </cfRule>
  </conditionalFormatting>
  <conditionalFormatting sqref="R22:S22">
    <cfRule type="colorScale" priority="150">
      <colorScale>
        <cfvo type="num" val="$N$22"/>
        <cfvo type="num" val="$O$22"/>
        <cfvo type="num" val="$P$22"/>
        <color rgb="FFFF0000"/>
        <color rgb="FFFFFF00"/>
        <color rgb="FF00B050"/>
      </colorScale>
    </cfRule>
  </conditionalFormatting>
  <conditionalFormatting sqref="R23:S23">
    <cfRule type="colorScale" priority="149">
      <colorScale>
        <cfvo type="num" val="$N$23"/>
        <cfvo type="num" val="$O$23"/>
        <cfvo type="num" val="$P$23"/>
        <color rgb="FFFF0000"/>
        <color rgb="FFFFFF00"/>
        <color rgb="FF00B050"/>
      </colorScale>
    </cfRule>
  </conditionalFormatting>
  <conditionalFormatting sqref="R61:S62">
    <cfRule type="colorScale" priority="148">
      <colorScale>
        <cfvo type="num" val="$N$61"/>
        <cfvo type="num" val="$O$61"/>
        <cfvo type="num" val="$P$61"/>
        <color rgb="FFFF0000"/>
        <color rgb="FFFFFF00"/>
        <color rgb="FF00B050"/>
      </colorScale>
    </cfRule>
  </conditionalFormatting>
  <conditionalFormatting sqref="R60:S60">
    <cfRule type="colorScale" priority="147">
      <colorScale>
        <cfvo type="num" val="$N$60"/>
        <cfvo type="num" val="$O$60"/>
        <cfvo type="num" val="$P$60"/>
        <color rgb="FFFF0000"/>
        <color rgb="FFFFFF00"/>
        <color rgb="FF00B050"/>
      </colorScale>
    </cfRule>
  </conditionalFormatting>
  <conditionalFormatting sqref="R59:S59">
    <cfRule type="colorScale" priority="146">
      <colorScale>
        <cfvo type="num" val="$N$59"/>
        <cfvo type="num" val="$O$59"/>
        <cfvo type="num" val="$P$59"/>
        <color rgb="FFFF0000"/>
        <color rgb="FFFFFF00"/>
        <color rgb="FF00B050"/>
      </colorScale>
    </cfRule>
  </conditionalFormatting>
  <conditionalFormatting sqref="R58:S58">
    <cfRule type="colorScale" priority="145">
      <colorScale>
        <cfvo type="num" val="$N$58"/>
        <cfvo type="num" val="$O$58"/>
        <cfvo type="num" val="$P$58"/>
        <color rgb="FFFF0000"/>
        <color rgb="FFFFFF00"/>
        <color rgb="FF00B050"/>
      </colorScale>
    </cfRule>
  </conditionalFormatting>
  <conditionalFormatting sqref="R57:S57">
    <cfRule type="colorScale" priority="144">
      <colorScale>
        <cfvo type="num" val="$N$57"/>
        <cfvo type="num" val="$O$57"/>
        <cfvo type="num" val="$P$57"/>
        <color rgb="FFFF0000"/>
        <color rgb="FFFFFF00"/>
        <color rgb="FF00B050"/>
      </colorScale>
    </cfRule>
  </conditionalFormatting>
  <conditionalFormatting sqref="R56:S56">
    <cfRule type="colorScale" priority="143">
      <colorScale>
        <cfvo type="num" val="$N$56"/>
        <cfvo type="num" val="$O$56"/>
        <cfvo type="num" val="$P$56"/>
        <color rgb="FFFF0000"/>
        <color rgb="FFFFFF00"/>
        <color rgb="FF00B050"/>
      </colorScale>
    </cfRule>
  </conditionalFormatting>
  <conditionalFormatting sqref="R55:S55">
    <cfRule type="colorScale" priority="142">
      <colorScale>
        <cfvo type="num" val="$N$55"/>
        <cfvo type="num" val="$O$55"/>
        <cfvo type="num" val="$P$55"/>
        <color rgb="FFFF0000"/>
        <color rgb="FFFFFF00"/>
        <color rgb="FF00B050"/>
      </colorScale>
    </cfRule>
  </conditionalFormatting>
  <conditionalFormatting sqref="R54:S54">
    <cfRule type="colorScale" priority="141">
      <colorScale>
        <cfvo type="num" val="$N$54"/>
        <cfvo type="num" val="$O$54"/>
        <cfvo type="num" val="$P$54"/>
        <color rgb="FFFF0000"/>
        <color rgb="FFFFFF00"/>
        <color rgb="FF00B050"/>
      </colorScale>
    </cfRule>
  </conditionalFormatting>
  <conditionalFormatting sqref="R53:S53">
    <cfRule type="colorScale" priority="140">
      <colorScale>
        <cfvo type="num" val="$N$53"/>
        <cfvo type="num" val="$O$53"/>
        <cfvo type="num" val="$P$53"/>
        <color rgb="FFFF0000"/>
        <color rgb="FFFFFF00"/>
        <color rgb="FF00B050"/>
      </colorScale>
    </cfRule>
  </conditionalFormatting>
  <conditionalFormatting sqref="R52:S52">
    <cfRule type="colorScale" priority="139">
      <colorScale>
        <cfvo type="num" val="$N$52"/>
        <cfvo type="num" val="$O$52"/>
        <cfvo type="num" val="$P$52"/>
        <color rgb="FFFF0000"/>
        <color rgb="FFFFFF00"/>
        <color rgb="FF00B050"/>
      </colorScale>
    </cfRule>
  </conditionalFormatting>
  <conditionalFormatting sqref="R51:S51">
    <cfRule type="colorScale" priority="138">
      <colorScale>
        <cfvo type="num" val="$N$51"/>
        <cfvo type="num" val="$O$51"/>
        <cfvo type="num" val="$P$51"/>
        <color rgb="FFFF0000"/>
        <color rgb="FFFFFF00"/>
        <color rgb="FF00B050"/>
      </colorScale>
    </cfRule>
  </conditionalFormatting>
  <conditionalFormatting sqref="R50:S50">
    <cfRule type="colorScale" priority="137">
      <colorScale>
        <cfvo type="num" val="$N$50"/>
        <cfvo type="num" val="$O$50"/>
        <cfvo type="num" val="$P$50"/>
        <color rgb="FFFF0000"/>
        <color rgb="FFFFFF00"/>
        <color rgb="FF00B050"/>
      </colorScale>
    </cfRule>
  </conditionalFormatting>
  <conditionalFormatting sqref="R49:S49">
    <cfRule type="colorScale" priority="134">
      <colorScale>
        <cfvo type="num" val="$N$49"/>
        <cfvo type="num" val="$O$49"/>
        <cfvo type="num" val="$P$49"/>
        <color rgb="FFFF0000"/>
        <color rgb="FFFFFF00"/>
        <color rgb="FF00B050"/>
      </colorScale>
    </cfRule>
    <cfRule type="colorScale" priority="135">
      <colorScale>
        <cfvo type="num" val="$N$49"/>
        <cfvo type="num" val="$O$49"/>
        <cfvo type="num" val="0"/>
        <color rgb="FFFF0000"/>
        <color rgb="FFFFFF00"/>
        <color rgb="FF00B050"/>
      </colorScale>
    </cfRule>
    <cfRule type="colorScale" priority="136">
      <colorScale>
        <cfvo type="num" val="$N$49"/>
        <cfvo type="num" val="$O$49"/>
        <cfvo type="num" val="0"/>
        <color rgb="FFFF0000"/>
        <color rgb="FFFFFF00"/>
        <color rgb="FF00B050"/>
      </colorScale>
    </cfRule>
  </conditionalFormatting>
  <conditionalFormatting sqref="R47:S47">
    <cfRule type="colorScale" priority="132">
      <colorScale>
        <cfvo type="num" val="$N$47"/>
        <cfvo type="num" val="$O$47"/>
        <cfvo type="num" val="$P$47"/>
        <color rgb="FFFF0000"/>
        <color rgb="FFFFFF00"/>
        <color rgb="FF00B050"/>
      </colorScale>
    </cfRule>
  </conditionalFormatting>
  <conditionalFormatting sqref="R46:S46">
    <cfRule type="colorScale" priority="131">
      <colorScale>
        <cfvo type="num" val="$N$46"/>
        <cfvo type="num" val="$O$46"/>
        <cfvo type="num" val="$P$46"/>
        <color rgb="FFFF0000"/>
        <color rgb="FFFFFF00"/>
        <color rgb="FF00B050"/>
      </colorScale>
    </cfRule>
  </conditionalFormatting>
  <conditionalFormatting sqref="R45:S45">
    <cfRule type="colorScale" priority="130">
      <colorScale>
        <cfvo type="num" val="$N$45"/>
        <cfvo type="num" val="$O$45"/>
        <cfvo type="num" val="$P$45"/>
        <color rgb="FFFF0000"/>
        <color rgb="FFFFFF00"/>
        <color rgb="FF00B050"/>
      </colorScale>
    </cfRule>
  </conditionalFormatting>
  <conditionalFormatting sqref="R44:S44">
    <cfRule type="colorScale" priority="129">
      <colorScale>
        <cfvo type="num" val="$N$44"/>
        <cfvo type="num" val="$O$44"/>
        <cfvo type="num" val="$P$44"/>
        <color rgb="FFFF0000"/>
        <color rgb="FFFFFF00"/>
        <color rgb="FF00B050"/>
      </colorScale>
    </cfRule>
  </conditionalFormatting>
  <conditionalFormatting sqref="R43:S43">
    <cfRule type="colorScale" priority="128">
      <colorScale>
        <cfvo type="num" val="$N$43"/>
        <cfvo type="num" val="$O$43"/>
        <cfvo type="num" val="$P$43"/>
        <color rgb="FFFF0000"/>
        <color rgb="FFFFFF00"/>
        <color rgb="FF00B050"/>
      </colorScale>
    </cfRule>
  </conditionalFormatting>
  <conditionalFormatting sqref="R24:S24">
    <cfRule type="colorScale" priority="127">
      <colorScale>
        <cfvo type="num" val="$N$24"/>
        <cfvo type="num" val="$O$24"/>
        <cfvo type="num" val="$P$24"/>
        <color rgb="FFFF0000"/>
        <color rgb="FFFFFF00"/>
        <color rgb="FF00B050"/>
      </colorScale>
    </cfRule>
  </conditionalFormatting>
  <conditionalFormatting sqref="R25:S25">
    <cfRule type="colorScale" priority="126">
      <colorScale>
        <cfvo type="num" val="$N$25"/>
        <cfvo type="num" val="$O$25"/>
        <cfvo type="num" val="$P$25"/>
        <color rgb="FFFF0000"/>
        <color rgb="FFFFFF00"/>
        <color rgb="FF00B050"/>
      </colorScale>
    </cfRule>
  </conditionalFormatting>
  <conditionalFormatting sqref="R26:S26">
    <cfRule type="colorScale" priority="125">
      <colorScale>
        <cfvo type="num" val="$N$26"/>
        <cfvo type="num" val="$O$26"/>
        <cfvo type="num" val="$P$26"/>
        <color rgb="FFFF0000"/>
        <color rgb="FFFFFF00"/>
        <color rgb="FF00B050"/>
      </colorScale>
    </cfRule>
  </conditionalFormatting>
  <conditionalFormatting sqref="R27:S27">
    <cfRule type="colorScale" priority="124">
      <colorScale>
        <cfvo type="num" val="$N$27"/>
        <cfvo type="num" val="$O$27"/>
        <cfvo type="num" val="$P$27"/>
        <color rgb="FFFF0000"/>
        <color rgb="FFFFFF00"/>
        <color rgb="FF00B050"/>
      </colorScale>
    </cfRule>
  </conditionalFormatting>
  <conditionalFormatting sqref="R28:S28">
    <cfRule type="colorScale" priority="122">
      <colorScale>
        <cfvo type="num" val="$N$28"/>
        <cfvo type="num" val="$O$28"/>
        <cfvo type="num" val="$P$28"/>
        <color rgb="FFFF0000"/>
        <color rgb="FFFFFF00"/>
        <color rgb="FF00B050"/>
      </colorScale>
    </cfRule>
  </conditionalFormatting>
  <conditionalFormatting sqref="R29:S29">
    <cfRule type="colorScale" priority="121">
      <colorScale>
        <cfvo type="num" val="$N$29"/>
        <cfvo type="num" val="$O$29"/>
        <cfvo type="num" val="$P$29"/>
        <color rgb="FFFF0000"/>
        <color rgb="FFFFFF00"/>
        <color rgb="FF00B050"/>
      </colorScale>
    </cfRule>
  </conditionalFormatting>
  <conditionalFormatting sqref="R30:S30">
    <cfRule type="colorScale" priority="120">
      <colorScale>
        <cfvo type="num" val="$N$30"/>
        <cfvo type="num" val="$O$30"/>
        <cfvo type="num" val="$P$30"/>
        <color rgb="FFFF0000"/>
        <color rgb="FFFFFF00"/>
        <color rgb="FF00B050"/>
      </colorScale>
    </cfRule>
  </conditionalFormatting>
  <conditionalFormatting sqref="R31:S31">
    <cfRule type="colorScale" priority="119">
      <colorScale>
        <cfvo type="num" val="$N$31"/>
        <cfvo type="num" val="$O$31"/>
        <cfvo type="num" val="$P$31"/>
        <color rgb="FFFF0000"/>
        <color rgb="FFFFFF00"/>
        <color rgb="FF00B050"/>
      </colorScale>
    </cfRule>
  </conditionalFormatting>
  <conditionalFormatting sqref="R32:S32">
    <cfRule type="colorScale" priority="118">
      <colorScale>
        <cfvo type="num" val="$N$32"/>
        <cfvo type="num" val="$O$32"/>
        <cfvo type="num" val="$P$32"/>
        <color rgb="FFFF0000"/>
        <color rgb="FFFFFF00"/>
        <color rgb="FF00B050"/>
      </colorScale>
    </cfRule>
  </conditionalFormatting>
  <conditionalFormatting sqref="R33:S33">
    <cfRule type="colorScale" priority="117">
      <colorScale>
        <cfvo type="num" val="$N$33"/>
        <cfvo type="num" val="$O$33"/>
        <cfvo type="num" val="$P$33"/>
        <color rgb="FFFF0000"/>
        <color rgb="FFFFFF00"/>
        <color rgb="FF00B050"/>
      </colorScale>
    </cfRule>
  </conditionalFormatting>
  <conditionalFormatting sqref="R34:S34">
    <cfRule type="colorScale" priority="116">
      <colorScale>
        <cfvo type="num" val="$N$34"/>
        <cfvo type="num" val="$O$34"/>
        <cfvo type="num" val="$P$34"/>
        <color rgb="FFFF0000"/>
        <color rgb="FFFFFF00"/>
        <color rgb="FF00B050"/>
      </colorScale>
    </cfRule>
  </conditionalFormatting>
  <conditionalFormatting sqref="R35:S35">
    <cfRule type="colorScale" priority="115">
      <colorScale>
        <cfvo type="num" val="$N$35"/>
        <cfvo type="num" val="$O$35"/>
        <cfvo type="num" val="$P$35"/>
        <color rgb="FFFF0000"/>
        <color rgb="FFFFFF00"/>
        <color rgb="FF00B050"/>
      </colorScale>
    </cfRule>
  </conditionalFormatting>
  <conditionalFormatting sqref="R36:S36">
    <cfRule type="colorScale" priority="114">
      <colorScale>
        <cfvo type="num" val="$N$36"/>
        <cfvo type="num" val="$O$36"/>
        <cfvo type="num" val="$P$36"/>
        <color rgb="FFFF0000"/>
        <color rgb="FFFFFF00"/>
        <color rgb="FF00B050"/>
      </colorScale>
    </cfRule>
  </conditionalFormatting>
  <conditionalFormatting sqref="R37:S37">
    <cfRule type="colorScale" priority="113">
      <colorScale>
        <cfvo type="num" val="$N$37"/>
        <cfvo type="num" val="$O$37"/>
        <cfvo type="num" val="$P$37"/>
        <color rgb="FFFF0000"/>
        <color rgb="FFFFFF00"/>
        <color rgb="FF00B050"/>
      </colorScale>
    </cfRule>
  </conditionalFormatting>
  <conditionalFormatting sqref="R38:S38">
    <cfRule type="colorScale" priority="110">
      <colorScale>
        <cfvo type="num" val="$N$38"/>
        <cfvo type="num" val="$O$38"/>
        <cfvo type="num" val="$P$38"/>
        <color rgb="FFFF0000"/>
        <color rgb="FFFFFF00"/>
        <color rgb="FF00B050"/>
      </colorScale>
    </cfRule>
    <cfRule type="colorScale" priority="111">
      <colorScale>
        <cfvo type="num" val="$N$38"/>
        <cfvo type="num" val="$O$38"/>
        <cfvo type="num" val="0"/>
        <color rgb="FFFF0000"/>
        <color rgb="FFFFFF00"/>
        <color rgb="FF00B050"/>
      </colorScale>
    </cfRule>
    <cfRule type="colorScale" priority="112">
      <colorScale>
        <cfvo type="num" val="$N$38"/>
        <cfvo type="num" val="0"/>
        <cfvo type="num" val="0"/>
        <color rgb="FFFF0000"/>
        <color rgb="FFFFFF00"/>
        <color rgb="FF00B050"/>
      </colorScale>
    </cfRule>
  </conditionalFormatting>
  <conditionalFormatting sqref="R39:S39">
    <cfRule type="colorScale" priority="109">
      <colorScale>
        <cfvo type="num" val="$N$39"/>
        <cfvo type="num" val="$O$39"/>
        <cfvo type="num" val="$P$39"/>
        <color rgb="FFFF0000"/>
        <color rgb="FFFFFF00"/>
        <color rgb="FF00B050"/>
      </colorScale>
    </cfRule>
  </conditionalFormatting>
  <conditionalFormatting sqref="R40:S40">
    <cfRule type="colorScale" priority="108">
      <colorScale>
        <cfvo type="num" val="$N$40"/>
        <cfvo type="num" val="$O$40"/>
        <cfvo type="num" val="$P$40"/>
        <color rgb="FFFF0000"/>
        <color rgb="FFFFFF00"/>
        <color rgb="FF00B050"/>
      </colorScale>
    </cfRule>
  </conditionalFormatting>
  <conditionalFormatting sqref="R41:S41">
    <cfRule type="colorScale" priority="107">
      <colorScale>
        <cfvo type="num" val="$N$41"/>
        <cfvo type="num" val="$O$41"/>
        <cfvo type="num" val="$P$41"/>
        <color rgb="FFFF0000"/>
        <color rgb="FFFFFF00"/>
        <color rgb="FF00B050"/>
      </colorScale>
    </cfRule>
  </conditionalFormatting>
  <conditionalFormatting sqref="R42:S42">
    <cfRule type="colorScale" priority="106">
      <colorScale>
        <cfvo type="num" val="$N$42"/>
        <cfvo type="num" val="$O$42"/>
        <cfvo type="num" val="$P$42"/>
        <color rgb="FFFF0000"/>
        <color rgb="FFFFFF00"/>
        <color rgb="FF00B050"/>
      </colorScale>
    </cfRule>
  </conditionalFormatting>
  <conditionalFormatting sqref="R62:S62">
    <cfRule type="colorScale" priority="104">
      <colorScale>
        <cfvo type="num" val="$N$62"/>
        <cfvo type="num" val="$O$62"/>
        <cfvo type="num" val="$P$62"/>
        <color rgb="FFFF0000"/>
        <color rgb="FFFFFF00"/>
        <color rgb="FF00B050"/>
      </colorScale>
    </cfRule>
    <cfRule type="colorScale" priority="105">
      <colorScale>
        <cfvo type="num" val="0"/>
        <cfvo type="num" val="0"/>
        <cfvo type="num" val="0"/>
        <color rgb="FFFF0000"/>
        <color rgb="FFFFC000"/>
        <color rgb="FF00B050"/>
      </colorScale>
    </cfRule>
  </conditionalFormatting>
  <conditionalFormatting sqref="R48:S48">
    <cfRule type="colorScale" priority="173">
      <colorScale>
        <cfvo type="num" val="$N$48"/>
        <cfvo type="num" val="$O$64"/>
        <cfvo type="num" val="$P$48"/>
        <color rgb="FFFF0000"/>
        <color rgb="FFFFFF00"/>
        <color rgb="FF00B050"/>
      </colorScale>
    </cfRule>
  </conditionalFormatting>
  <conditionalFormatting sqref="R78:S78">
    <cfRule type="colorScale" priority="65">
      <colorScale>
        <cfvo type="num" val="$N$20"/>
        <cfvo type="num" val="$O$20"/>
        <cfvo type="num" val="$P$20"/>
        <color rgb="FFFF0000"/>
        <color rgb="FFFFFF00"/>
        <color rgb="FF00B050"/>
      </colorScale>
    </cfRule>
  </conditionalFormatting>
  <conditionalFormatting sqref="R65:S65">
    <cfRule type="colorScale" priority="103">
      <colorScale>
        <cfvo type="num" val="$N$7"/>
        <cfvo type="num" val="$O$7"/>
        <cfvo type="num" val="$P$7"/>
        <color rgb="FFFF0000"/>
        <color rgb="FFFFFF00"/>
        <color rgb="FF00B050"/>
      </colorScale>
    </cfRule>
  </conditionalFormatting>
  <conditionalFormatting sqref="R66:S66">
    <cfRule type="colorScale" priority="102">
      <colorScale>
        <cfvo type="num" val="$N$8"/>
        <cfvo type="num" val="$O$8"/>
        <cfvo type="num" val="$P$8"/>
        <color rgb="FFFF0000"/>
        <color rgb="FFFFFF00"/>
        <color rgb="FF00B050"/>
      </colorScale>
    </cfRule>
  </conditionalFormatting>
  <conditionalFormatting sqref="R67:S67">
    <cfRule type="colorScale" priority="101">
      <colorScale>
        <cfvo type="num" val="$N$9"/>
        <cfvo type="num" val="$O$9"/>
        <cfvo type="num" val="$P$9"/>
        <color rgb="FFFF0000"/>
        <color rgb="FFFFFF00"/>
        <color rgb="FF00B050"/>
      </colorScale>
    </cfRule>
  </conditionalFormatting>
  <conditionalFormatting sqref="R68:S68">
    <cfRule type="colorScale" priority="100">
      <colorScale>
        <cfvo type="num" val="$N$10"/>
        <cfvo type="num" val="$O$10"/>
        <cfvo type="num" val="$P$10"/>
        <color rgb="FFFF0000"/>
        <color rgb="FFFFFF00"/>
        <color rgb="FF00B050"/>
      </colorScale>
    </cfRule>
  </conditionalFormatting>
  <conditionalFormatting sqref="R69:S69">
    <cfRule type="colorScale" priority="99">
      <colorScale>
        <cfvo type="num" val="$N$11"/>
        <cfvo type="num" val="$O$11"/>
        <cfvo type="num" val="$P$11"/>
        <color rgb="FFFF0000"/>
        <color rgb="FFFFFF00"/>
        <color rgb="FF00B050"/>
      </colorScale>
    </cfRule>
  </conditionalFormatting>
  <conditionalFormatting sqref="R70:S70">
    <cfRule type="colorScale" priority="98">
      <colorScale>
        <cfvo type="num" val="$N$12"/>
        <cfvo type="num" val="$O$12"/>
        <cfvo type="num" val="$P$12"/>
        <color rgb="FFFF0000"/>
        <color rgb="FFFFFF00"/>
        <color rgb="FF00B050"/>
      </colorScale>
    </cfRule>
  </conditionalFormatting>
  <conditionalFormatting sqref="R71:S71">
    <cfRule type="colorScale" priority="97">
      <colorScale>
        <cfvo type="num" val="$N$13"/>
        <cfvo type="num" val="$O$13"/>
        <cfvo type="num" val="$P$13"/>
        <color rgb="FFFF0000"/>
        <color rgb="FFFFFF00"/>
        <color rgb="FF00B050"/>
      </colorScale>
    </cfRule>
  </conditionalFormatting>
  <conditionalFormatting sqref="R72:S72">
    <cfRule type="colorScale" priority="96">
      <colorScale>
        <cfvo type="num" val="$N$14"/>
        <cfvo type="num" val="$O$14"/>
        <cfvo type="num" val="$P$14"/>
        <color rgb="FFFF0000"/>
        <color rgb="FFFFFF00"/>
        <color rgb="FF00B050"/>
      </colorScale>
    </cfRule>
  </conditionalFormatting>
  <conditionalFormatting sqref="R73:S73">
    <cfRule type="colorScale" priority="95">
      <colorScale>
        <cfvo type="num" val="$N$15"/>
        <cfvo type="num" val="$O$15"/>
        <cfvo type="num" val="$P$15"/>
        <color rgb="FFFF0000"/>
        <color rgb="FFFFFF00"/>
        <color rgb="FF00B050"/>
      </colorScale>
    </cfRule>
  </conditionalFormatting>
  <conditionalFormatting sqref="R74:S74">
    <cfRule type="colorScale" priority="94">
      <colorScale>
        <cfvo type="num" val="$N$16"/>
        <cfvo type="num" val="$O$16"/>
        <cfvo type="num" val="$P$16"/>
        <color rgb="FFFF0000"/>
        <color rgb="FFFFFF00"/>
        <color rgb="FF00B050"/>
      </colorScale>
    </cfRule>
  </conditionalFormatting>
  <conditionalFormatting sqref="R75:S75">
    <cfRule type="colorScale" priority="93">
      <colorScale>
        <cfvo type="num" val="$N$17"/>
        <cfvo type="num" val="$O$17"/>
        <cfvo type="num" val="$P$17"/>
        <color rgb="FFFF0000"/>
        <color rgb="FFFFFF00"/>
        <color rgb="FF00B050"/>
      </colorScale>
    </cfRule>
  </conditionalFormatting>
  <conditionalFormatting sqref="R76:S76">
    <cfRule type="colorScale" priority="92">
      <colorScale>
        <cfvo type="num" val="$N$18"/>
        <cfvo type="num" val="$O$18"/>
        <cfvo type="num" val="$P$18"/>
        <color rgb="FFFF0000"/>
        <color rgb="FFFFFF00"/>
        <color rgb="FF00B050"/>
      </colorScale>
    </cfRule>
  </conditionalFormatting>
  <conditionalFormatting sqref="R77:S82">
    <cfRule type="colorScale" priority="91">
      <colorScale>
        <cfvo type="num" val="$N$19"/>
        <cfvo type="num" val="$O$19"/>
        <cfvo type="num" val="$P$19"/>
        <color rgb="FFFF0000"/>
        <color rgb="FFFFFF00"/>
        <color rgb="FF00B050"/>
      </colorScale>
    </cfRule>
  </conditionalFormatting>
  <conditionalFormatting sqref="R83:S83">
    <cfRule type="colorScale" priority="90">
      <colorScale>
        <cfvo type="num" val="$N$25"/>
        <cfvo type="num" val="$O$25"/>
        <cfvo type="num" val="$P$25"/>
        <color rgb="FFFF0000"/>
        <color rgb="FFFFFF00"/>
        <color rgb="FF00B050"/>
      </colorScale>
    </cfRule>
  </conditionalFormatting>
  <conditionalFormatting sqref="R84:S84">
    <cfRule type="colorScale" priority="89">
      <colorScale>
        <cfvo type="num" val="$N$26"/>
        <cfvo type="num" val="$O$26"/>
        <cfvo type="num" val="$P$26"/>
        <color rgb="FFFF0000"/>
        <color rgb="FFFFFF00"/>
        <color rgb="FF00B050"/>
      </colorScale>
    </cfRule>
  </conditionalFormatting>
  <conditionalFormatting sqref="R85:S85">
    <cfRule type="colorScale" priority="88">
      <colorScale>
        <cfvo type="num" val="$N$27"/>
        <cfvo type="num" val="$O$27"/>
        <cfvo type="num" val="$P$27"/>
        <color rgb="FFFF0000"/>
        <color rgb="FFFFFF00"/>
        <color rgb="FF00B050"/>
      </colorScale>
    </cfRule>
  </conditionalFormatting>
  <conditionalFormatting sqref="R107:S107">
    <cfRule type="colorScale" priority="87">
      <colorScale>
        <cfvo type="num" val="$N$49"/>
        <cfvo type="num" val="$O$49"/>
        <cfvo type="num" val="$P$49"/>
        <color rgb="FFFF0000"/>
        <color rgb="FFFFFF00"/>
        <color rgb="FF00B050"/>
      </colorScale>
    </cfRule>
  </conditionalFormatting>
  <conditionalFormatting sqref="R106:S106">
    <cfRule type="colorScale" priority="86">
      <colorScale>
        <cfvo type="num" val="$N$48"/>
        <cfvo type="num" val="$O$48"/>
        <cfvo type="num" val="$P$48"/>
        <color rgb="FFFF0000"/>
        <color rgb="FFFFFF00"/>
        <color rgb="FF00B050"/>
      </colorScale>
    </cfRule>
  </conditionalFormatting>
  <conditionalFormatting sqref="R105:S105">
    <cfRule type="colorScale" priority="85">
      <colorScale>
        <cfvo type="num" val="$N$47"/>
        <cfvo type="num" val="$O$47"/>
        <cfvo type="num" val="$P$47"/>
        <color rgb="FFFF0000"/>
        <color rgb="FFFFFF00"/>
        <color rgb="FF00B050"/>
      </colorScale>
    </cfRule>
  </conditionalFormatting>
  <conditionalFormatting sqref="R104:S104">
    <cfRule type="colorScale" priority="84">
      <colorScale>
        <cfvo type="num" val="$N$46"/>
        <cfvo type="num" val="$O$46"/>
        <cfvo type="num" val="$P$46"/>
        <color rgb="FFFF0000"/>
        <color rgb="FFFFFF00"/>
        <color rgb="FF00B050"/>
      </colorScale>
    </cfRule>
  </conditionalFormatting>
  <conditionalFormatting sqref="R103:S103">
    <cfRule type="colorScale" priority="83">
      <colorScale>
        <cfvo type="num" val="$N$45"/>
        <cfvo type="num" val="$O$45"/>
        <cfvo type="num" val="$P$45"/>
        <color rgb="FFFF0000"/>
        <color rgb="FFFFFF00"/>
        <color rgb="FF00B050"/>
      </colorScale>
    </cfRule>
  </conditionalFormatting>
  <conditionalFormatting sqref="R102:S102">
    <cfRule type="colorScale" priority="82">
      <colorScale>
        <cfvo type="num" val="$N$44"/>
        <cfvo type="num" val="$O$44"/>
        <cfvo type="num" val="$P$44"/>
        <color rgb="FFFF0000"/>
        <color rgb="FFFFFF00"/>
        <color rgb="FF00B050"/>
      </colorScale>
    </cfRule>
  </conditionalFormatting>
  <conditionalFormatting sqref="R101:S101">
    <cfRule type="colorScale" priority="81">
      <colorScale>
        <cfvo type="num" val="$N$43"/>
        <cfvo type="num" val="$O$43"/>
        <cfvo type="num" val="$P$43"/>
        <color rgb="FFFF0000"/>
        <color rgb="FFFFFF00"/>
        <color rgb="FF00B050"/>
      </colorScale>
    </cfRule>
  </conditionalFormatting>
  <conditionalFormatting sqref="R100:S100">
    <cfRule type="colorScale" priority="80">
      <colorScale>
        <cfvo type="num" val="$N$42"/>
        <cfvo type="num" val="$O$42"/>
        <cfvo type="num" val="$P$42"/>
        <color rgb="FFFF0000"/>
        <color rgb="FFFFFF00"/>
        <color rgb="FF00B050"/>
      </colorScale>
    </cfRule>
  </conditionalFormatting>
  <conditionalFormatting sqref="R99:S99">
    <cfRule type="colorScale" priority="79">
      <colorScale>
        <cfvo type="num" val="$N$41"/>
        <cfvo type="num" val="$O$41"/>
        <cfvo type="num" val="$P$41"/>
        <color rgb="FFFF0000"/>
        <color rgb="FFFFFF00"/>
        <color rgb="FF00B050"/>
      </colorScale>
    </cfRule>
  </conditionalFormatting>
  <conditionalFormatting sqref="R98:S98">
    <cfRule type="colorScale" priority="78">
      <colorScale>
        <cfvo type="num" val="$N$40"/>
        <cfvo type="num" val="$O$40"/>
        <cfvo type="num" val="$P$40"/>
        <color rgb="FFFF0000"/>
        <color rgb="FFFFFF00"/>
        <color rgb="FF00B050"/>
      </colorScale>
    </cfRule>
  </conditionalFormatting>
  <conditionalFormatting sqref="R97:S97">
    <cfRule type="colorScale" priority="77">
      <colorScale>
        <cfvo type="num" val="$N$39"/>
        <cfvo type="num" val="$O$39"/>
        <cfvo type="num" val="$P$39"/>
        <color rgb="FFFF0000"/>
        <color rgb="FFFFFF00"/>
        <color rgb="FF00B050"/>
      </colorScale>
    </cfRule>
  </conditionalFormatting>
  <conditionalFormatting sqref="R96:S96">
    <cfRule type="colorScale" priority="76">
      <colorScale>
        <cfvo type="num" val="$N$38"/>
        <cfvo type="num" val="$O$38"/>
        <cfvo type="num" val="$P$38"/>
        <color rgb="FFFF0000"/>
        <color rgb="FFFFFF00"/>
        <color rgb="FF00B050"/>
      </colorScale>
    </cfRule>
  </conditionalFormatting>
  <conditionalFormatting sqref="R95:S95">
    <cfRule type="colorScale" priority="75">
      <colorScale>
        <cfvo type="num" val="$N$37"/>
        <cfvo type="num" val="$O$37"/>
        <cfvo type="num" val="$P$37"/>
        <color rgb="FFFF0000"/>
        <color rgb="FFFFFF00"/>
        <color rgb="FF00B050"/>
      </colorScale>
    </cfRule>
  </conditionalFormatting>
  <conditionalFormatting sqref="R94:S94">
    <cfRule type="colorScale" priority="74">
      <colorScale>
        <cfvo type="num" val="$N$36"/>
        <cfvo type="num" val="$O$36"/>
        <cfvo type="num" val="$P$36"/>
        <color rgb="FFFF0000"/>
        <color rgb="FFFFFF00"/>
        <color rgb="FF00B050"/>
      </colorScale>
    </cfRule>
  </conditionalFormatting>
  <conditionalFormatting sqref="R93:S93">
    <cfRule type="colorScale" priority="73">
      <colorScale>
        <cfvo type="num" val="$N$35"/>
        <cfvo type="num" val="$O$35"/>
        <cfvo type="num" val="$P$35"/>
        <color rgb="FFFF0000"/>
        <color rgb="FFFFFF00"/>
        <color rgb="FF00B050"/>
      </colorScale>
    </cfRule>
  </conditionalFormatting>
  <conditionalFormatting sqref="R92:S92">
    <cfRule type="colorScale" priority="72">
      <colorScale>
        <cfvo type="num" val="$N$34"/>
        <cfvo type="num" val="$O$34"/>
        <cfvo type="num" val="$P$34"/>
        <color rgb="FFFF0000"/>
        <color rgb="FFFFFF00"/>
        <color rgb="FF00B050"/>
      </colorScale>
    </cfRule>
  </conditionalFormatting>
  <conditionalFormatting sqref="R91:S91">
    <cfRule type="colorScale" priority="71">
      <colorScale>
        <cfvo type="num" val="$N$33"/>
        <cfvo type="num" val="$O$33"/>
        <cfvo type="num" val="$P$33"/>
        <color rgb="FFFF0000"/>
        <color rgb="FFFFFF00"/>
        <color rgb="FF00B050"/>
      </colorScale>
    </cfRule>
  </conditionalFormatting>
  <conditionalFormatting sqref="R90:S90">
    <cfRule type="colorScale" priority="70">
      <colorScale>
        <cfvo type="num" val="$N$32"/>
        <cfvo type="num" val="$O$32"/>
        <cfvo type="num" val="$P$32"/>
        <color rgb="FFFF0000"/>
        <color rgb="FFFFFF00"/>
        <color rgb="FF00B050"/>
      </colorScale>
    </cfRule>
  </conditionalFormatting>
  <conditionalFormatting sqref="R89:S89">
    <cfRule type="colorScale" priority="69">
      <colorScale>
        <cfvo type="num" val="$N$31"/>
        <cfvo type="num" val="$O$31"/>
        <cfvo type="num" val="$P$31"/>
        <color rgb="FFFF0000"/>
        <color rgb="FFFFFF00"/>
        <color rgb="FF00B050"/>
      </colorScale>
    </cfRule>
  </conditionalFormatting>
  <conditionalFormatting sqref="R88:S88">
    <cfRule type="colorScale" priority="68">
      <colorScale>
        <cfvo type="num" val="$N$30"/>
        <cfvo type="num" val="$O$30"/>
        <cfvo type="num" val="$P$30"/>
        <color rgb="FFFF0000"/>
        <color rgb="FFFFFF00"/>
        <color rgb="FF00B050"/>
      </colorScale>
    </cfRule>
  </conditionalFormatting>
  <conditionalFormatting sqref="R87:S87">
    <cfRule type="colorScale" priority="67">
      <colorScale>
        <cfvo type="num" val="$N$29"/>
        <cfvo type="num" val="$O$29"/>
        <cfvo type="num" val="$P$29"/>
        <color rgb="FFFF0000"/>
        <color rgb="FFFFFF00"/>
        <color rgb="FF00B050"/>
      </colorScale>
    </cfRule>
  </conditionalFormatting>
  <conditionalFormatting sqref="R86:S86">
    <cfRule type="colorScale" priority="66">
      <colorScale>
        <cfvo type="num" val="$N$28"/>
        <cfvo type="num" val="$O$28"/>
        <cfvo type="num" val="$P$28"/>
        <color rgb="FFFF0000"/>
        <color rgb="FFFFFF00"/>
        <color rgb="FF00B050"/>
      </colorScale>
    </cfRule>
  </conditionalFormatting>
  <conditionalFormatting sqref="R108:S108">
    <cfRule type="colorScale" priority="58">
      <colorScale>
        <cfvo type="num" val="$N$7"/>
        <cfvo type="num" val="$O$7"/>
        <cfvo type="num" val="$P$7"/>
        <color rgb="FFFF0000"/>
        <color rgb="FFFFFF00"/>
        <color rgb="FF00B050"/>
      </colorScale>
    </cfRule>
  </conditionalFormatting>
  <conditionalFormatting sqref="R109:S109">
    <cfRule type="colorScale" priority="57">
      <colorScale>
        <cfvo type="num" val="$N$8"/>
        <cfvo type="num" val="$O$8"/>
        <cfvo type="num" val="$P$8"/>
        <color rgb="FFFF0000"/>
        <color rgb="FFFFFF00"/>
        <color rgb="FF00B050"/>
      </colorScale>
    </cfRule>
  </conditionalFormatting>
  <conditionalFormatting sqref="R110:S110">
    <cfRule type="colorScale" priority="56">
      <colorScale>
        <cfvo type="num" val="$N$9"/>
        <cfvo type="num" val="$O$9"/>
        <cfvo type="num" val="$P$9"/>
        <color rgb="FFFF0000"/>
        <color rgb="FFFFFF00"/>
        <color rgb="FF00B050"/>
      </colorScale>
    </cfRule>
  </conditionalFormatting>
  <conditionalFormatting sqref="R111:S111">
    <cfRule type="colorScale" priority="55">
      <colorScale>
        <cfvo type="num" val="$N$10"/>
        <cfvo type="num" val="$O$10"/>
        <cfvo type="num" val="$P$10"/>
        <color rgb="FFFF0000"/>
        <color rgb="FFFFFF00"/>
        <color rgb="FF00B050"/>
      </colorScale>
    </cfRule>
  </conditionalFormatting>
  <conditionalFormatting sqref="R112:S112">
    <cfRule type="colorScale" priority="54">
      <colorScale>
        <cfvo type="num" val="$N$11"/>
        <cfvo type="num" val="$O$11"/>
        <cfvo type="num" val="$P$11"/>
        <color rgb="FFFF0000"/>
        <color rgb="FFFFFF00"/>
        <color rgb="FF00B050"/>
      </colorScale>
    </cfRule>
  </conditionalFormatting>
  <conditionalFormatting sqref="R113:S113">
    <cfRule type="colorScale" priority="53">
      <colorScale>
        <cfvo type="num" val="$N$12"/>
        <cfvo type="num" val="$O$12"/>
        <cfvo type="num" val="$P$12"/>
        <color rgb="FFFF0000"/>
        <color rgb="FFFFFF00"/>
        <color rgb="FF00B050"/>
      </colorScale>
    </cfRule>
  </conditionalFormatting>
  <conditionalFormatting sqref="R114:S115">
    <cfRule type="colorScale" priority="52">
      <colorScale>
        <cfvo type="num" val="$N$13"/>
        <cfvo type="num" val="$O$13"/>
        <cfvo type="num" val="$P$13"/>
        <color rgb="FFFF0000"/>
        <color rgb="FFFFFF00"/>
        <color rgb="FF00B050"/>
      </colorScale>
    </cfRule>
  </conditionalFormatting>
  <conditionalFormatting sqref="R116:S116">
    <cfRule type="colorScale" priority="51">
      <colorScale>
        <cfvo type="num" val="$N$15"/>
        <cfvo type="num" val="$O$15"/>
        <cfvo type="num" val="$P$15"/>
        <color rgb="FFFF0000"/>
        <color rgb="FFFFFF00"/>
        <color rgb="FF00B050"/>
      </colorScale>
    </cfRule>
  </conditionalFormatting>
  <conditionalFormatting sqref="R117:S117">
    <cfRule type="colorScale" priority="50">
      <colorScale>
        <cfvo type="num" val="$N$16"/>
        <cfvo type="num" val="$O$16"/>
        <cfvo type="num" val="$P$16"/>
        <color rgb="FFFF0000"/>
        <color rgb="FFFFFF00"/>
        <color rgb="FF00B050"/>
      </colorScale>
    </cfRule>
  </conditionalFormatting>
  <conditionalFormatting sqref="R118:S118">
    <cfRule type="colorScale" priority="49">
      <colorScale>
        <cfvo type="num" val="$N$17"/>
        <cfvo type="num" val="$O$17"/>
        <cfvo type="num" val="$P$17"/>
        <color rgb="FFFF0000"/>
        <color rgb="FFFFFF00"/>
        <color rgb="FF00B050"/>
      </colorScale>
    </cfRule>
  </conditionalFormatting>
  <conditionalFormatting sqref="R119:S119">
    <cfRule type="colorScale" priority="48">
      <colorScale>
        <cfvo type="num" val="$N$18"/>
        <cfvo type="num" val="$O$18"/>
        <cfvo type="num" val="$P$18"/>
        <color rgb="FFFF0000"/>
        <color rgb="FFFFFF00"/>
        <color rgb="FF00B050"/>
      </colorScale>
    </cfRule>
  </conditionalFormatting>
  <conditionalFormatting sqref="R120:S120">
    <cfRule type="colorScale" priority="47">
      <colorScale>
        <cfvo type="num" val="$N$19"/>
        <cfvo type="num" val="$O$19"/>
        <cfvo type="num" val="$P$19"/>
        <color rgb="FFFF0000"/>
        <color rgb="FFFFFF00"/>
        <color rgb="FF00B050"/>
      </colorScale>
    </cfRule>
  </conditionalFormatting>
  <conditionalFormatting sqref="R121:S121">
    <cfRule type="colorScale" priority="46">
      <colorScale>
        <cfvo type="num" val="$N$20"/>
        <cfvo type="num" val="$O$20"/>
        <cfvo type="num" val="$P$20"/>
        <color rgb="FFFF0000"/>
        <color rgb="FFFFFF00"/>
        <color rgb="FF00B050"/>
      </colorScale>
    </cfRule>
  </conditionalFormatting>
  <conditionalFormatting sqref="R122:S122">
    <cfRule type="colorScale" priority="45">
      <colorScale>
        <cfvo type="num" val="$N$21"/>
        <cfvo type="num" val="$O$21"/>
        <cfvo type="num" val="$P$21"/>
        <color rgb="FFFF0000"/>
        <color rgb="FFFFFF00"/>
        <color rgb="FF00B050"/>
      </colorScale>
    </cfRule>
  </conditionalFormatting>
  <conditionalFormatting sqref="R123:S123">
    <cfRule type="colorScale" priority="44">
      <colorScale>
        <cfvo type="num" val="$N$22"/>
        <cfvo type="num" val="$O$22"/>
        <cfvo type="num" val="$P$22"/>
        <color rgb="FFFF0000"/>
        <color rgb="FFFFFF00"/>
        <color rgb="FF00B050"/>
      </colorScale>
    </cfRule>
  </conditionalFormatting>
  <conditionalFormatting sqref="R124:S124">
    <cfRule type="colorScale" priority="43">
      <colorScale>
        <cfvo type="num" val="$N$23"/>
        <cfvo type="num" val="$O$23"/>
        <cfvo type="num" val="$P$23"/>
        <color rgb="FFFF0000"/>
        <color rgb="FFFFFF00"/>
        <color rgb="FF00B050"/>
      </colorScale>
    </cfRule>
  </conditionalFormatting>
  <conditionalFormatting sqref="R125:S125">
    <cfRule type="colorScale" priority="42">
      <colorScale>
        <cfvo type="num" val="$N$24"/>
        <cfvo type="num" val="$O$24"/>
        <cfvo type="num" val="$P$24"/>
        <color rgb="FFFF0000"/>
        <color rgb="FFFFFF00"/>
        <color rgb="FF00B050"/>
      </colorScale>
    </cfRule>
  </conditionalFormatting>
  <conditionalFormatting sqref="R126:S126">
    <cfRule type="colorScale" priority="41">
      <colorScale>
        <cfvo type="num" val="$N$25"/>
        <cfvo type="num" val="$O$25"/>
        <cfvo type="num" val="$P$25"/>
        <color rgb="FFFF0000"/>
        <color rgb="FFFFFF00"/>
        <color rgb="FF00B050"/>
      </colorScale>
    </cfRule>
  </conditionalFormatting>
  <conditionalFormatting sqref="R127:S127">
    <cfRule type="colorScale" priority="40">
      <colorScale>
        <cfvo type="num" val="$N$26"/>
        <cfvo type="num" val="$O$26"/>
        <cfvo type="num" val="$P$26"/>
        <color rgb="FFFF0000"/>
        <color rgb="FFFFFF00"/>
        <color rgb="FF00B050"/>
      </colorScale>
    </cfRule>
  </conditionalFormatting>
  <conditionalFormatting sqref="R128:S128">
    <cfRule type="colorScale" priority="39">
      <colorScale>
        <cfvo type="num" val="$N$27"/>
        <cfvo type="num" val="$O$27"/>
        <cfvo type="num" val="$P$27"/>
        <color rgb="FFFF0000"/>
        <color rgb="FFFFFF00"/>
        <color rgb="FF00B050"/>
      </colorScale>
    </cfRule>
  </conditionalFormatting>
  <conditionalFormatting sqref="R129:S129">
    <cfRule type="colorScale" priority="38">
      <colorScale>
        <cfvo type="num" val="$N$28"/>
        <cfvo type="num" val="$O$28"/>
        <cfvo type="num" val="$P$28"/>
        <color rgb="FFFF0000"/>
        <color rgb="FFFFFF00"/>
        <color rgb="FF00B050"/>
      </colorScale>
    </cfRule>
  </conditionalFormatting>
  <conditionalFormatting sqref="R130:S130">
    <cfRule type="colorScale" priority="37">
      <colorScale>
        <cfvo type="num" val="$N$29"/>
        <cfvo type="num" val="$O$29"/>
        <cfvo type="num" val="$P$29"/>
        <color rgb="FFFF0000"/>
        <color rgb="FFFFFF00"/>
        <color rgb="FF00B050"/>
      </colorScale>
    </cfRule>
  </conditionalFormatting>
  <conditionalFormatting sqref="R131:S131">
    <cfRule type="colorScale" priority="36">
      <colorScale>
        <cfvo type="num" val="$N$30"/>
        <cfvo type="num" val="$O$30"/>
        <cfvo type="num" val="$P$30"/>
        <color rgb="FFFF0000"/>
        <color rgb="FFFFFF00"/>
        <color rgb="FF00B050"/>
      </colorScale>
    </cfRule>
  </conditionalFormatting>
  <conditionalFormatting sqref="R132:S132">
    <cfRule type="colorScale" priority="35">
      <colorScale>
        <cfvo type="num" val="$N$31"/>
        <cfvo type="num" val="$O$31"/>
        <cfvo type="num" val="$P$31"/>
        <color rgb="FFFF0000"/>
        <color rgb="FFFFFF00"/>
        <color rgb="FF00B050"/>
      </colorScale>
    </cfRule>
  </conditionalFormatting>
  <conditionalFormatting sqref="R133:S133">
    <cfRule type="colorScale" priority="34">
      <colorScale>
        <cfvo type="num" val="$N$32"/>
        <cfvo type="num" val="$O$32"/>
        <cfvo type="num" val="$P$32"/>
        <color rgb="FFFF0000"/>
        <color rgb="FFFFFF00"/>
        <color rgb="FF00B050"/>
      </colorScale>
    </cfRule>
  </conditionalFormatting>
  <conditionalFormatting sqref="R134:S134">
    <cfRule type="colorScale" priority="33">
      <colorScale>
        <cfvo type="num" val="$N$33"/>
        <cfvo type="num" val="$O$33"/>
        <cfvo type="num" val="$P$33"/>
        <color rgb="FFFF0000"/>
        <color rgb="FFFFFF00"/>
        <color rgb="FF00B050"/>
      </colorScale>
    </cfRule>
  </conditionalFormatting>
  <conditionalFormatting sqref="R135:S135">
    <cfRule type="colorScale" priority="32">
      <colorScale>
        <cfvo type="num" val="$N$34"/>
        <cfvo type="num" val="$O$34"/>
        <cfvo type="num" val="$P$34"/>
        <color rgb="FFFF0000"/>
        <color rgb="FFFFFF00"/>
        <color rgb="FF00B050"/>
      </colorScale>
    </cfRule>
  </conditionalFormatting>
  <conditionalFormatting sqref="R136:S136">
    <cfRule type="colorScale" priority="31">
      <colorScale>
        <cfvo type="num" val="$N$35"/>
        <cfvo type="num" val="$O$35"/>
        <cfvo type="num" val="$P$35"/>
        <color rgb="FFFF0000"/>
        <color rgb="FFFFFF00"/>
        <color rgb="FF00B050"/>
      </colorScale>
    </cfRule>
  </conditionalFormatting>
  <conditionalFormatting sqref="R137:S137">
    <cfRule type="colorScale" priority="30">
      <colorScale>
        <cfvo type="num" val="$N$36"/>
        <cfvo type="num" val="$O$36"/>
        <cfvo type="num" val="$P$36"/>
        <color rgb="FFFF0000"/>
        <color rgb="FFFFFF00"/>
        <color rgb="FF00B050"/>
      </colorScale>
    </cfRule>
  </conditionalFormatting>
  <conditionalFormatting sqref="N138">
    <cfRule type="colorScale" priority="29">
      <colorScale>
        <cfvo type="num" val="$N$37"/>
        <cfvo type="num" val="$O$37"/>
        <cfvo type="num" val="$P$37"/>
        <color rgb="FFFF0000"/>
        <color rgb="FFFFFF00"/>
        <color rgb="FF00B050"/>
      </colorScale>
    </cfRule>
  </conditionalFormatting>
  <conditionalFormatting sqref="R138:S138">
    <cfRule type="colorScale" priority="28">
      <colorScale>
        <cfvo type="num" val="$N$37"/>
        <cfvo type="num" val="$O$37"/>
        <cfvo type="num" val="$P$37"/>
        <color rgb="FFFF0000"/>
        <color rgb="FFFFFF00"/>
        <color rgb="FF00B050"/>
      </colorScale>
    </cfRule>
  </conditionalFormatting>
  <conditionalFormatting sqref="R139:S139">
    <cfRule type="colorScale" priority="27">
      <colorScale>
        <cfvo type="num" val="$N$38"/>
        <cfvo type="num" val="$O$38"/>
        <cfvo type="num" val="$P$38"/>
        <color rgb="FFFF0000"/>
        <color rgb="FFFFFF00"/>
        <color rgb="FF00B050"/>
      </colorScale>
    </cfRule>
  </conditionalFormatting>
  <conditionalFormatting sqref="R140:S140">
    <cfRule type="colorScale" priority="26">
      <colorScale>
        <cfvo type="num" val="$N$39"/>
        <cfvo type="num" val="$O$39"/>
        <cfvo type="num" val="$P$39"/>
        <color rgb="FFFF0000"/>
        <color rgb="FFFFFF00"/>
        <color rgb="FF00B050"/>
      </colorScale>
    </cfRule>
  </conditionalFormatting>
  <conditionalFormatting sqref="R141:S141">
    <cfRule type="colorScale" priority="25">
      <colorScale>
        <cfvo type="num" val="$N$40"/>
        <cfvo type="num" val="$O$40"/>
        <cfvo type="num" val="$P$40"/>
        <color rgb="FFFF0000"/>
        <color rgb="FFFFFF00"/>
        <color rgb="FF00B050"/>
      </colorScale>
    </cfRule>
  </conditionalFormatting>
  <conditionalFormatting sqref="R142:S142">
    <cfRule type="colorScale" priority="24">
      <colorScale>
        <cfvo type="num" val="$N$41"/>
        <cfvo type="num" val="$O$41"/>
        <cfvo type="num" val="$P$41"/>
        <color rgb="FFFF0000"/>
        <color rgb="FFFFFF00"/>
        <color rgb="FF00B050"/>
      </colorScale>
    </cfRule>
  </conditionalFormatting>
  <conditionalFormatting sqref="R169:S169">
    <cfRule type="colorScale" priority="23">
      <colorScale>
        <cfvo type="num" val="$N$67"/>
        <cfvo type="num" val="$O$67"/>
        <cfvo type="num" val="$P$67"/>
        <color rgb="FFFF0000"/>
        <color rgb="FFFFFF00"/>
        <color rgb="FF00B050"/>
      </colorScale>
    </cfRule>
  </conditionalFormatting>
  <conditionalFormatting sqref="R168:S168">
    <cfRule type="colorScale" priority="22">
      <colorScale>
        <cfvo type="num" val="$N$66"/>
        <cfvo type="num" val="$O$66"/>
        <cfvo type="num" val="$P$66"/>
        <color rgb="FFFF0000"/>
        <color rgb="FFFFFF00"/>
        <color rgb="FF00B050"/>
      </colorScale>
    </cfRule>
  </conditionalFormatting>
  <conditionalFormatting sqref="R167:S167">
    <cfRule type="colorScale" priority="21">
      <colorScale>
        <cfvo type="num" val="$N$65"/>
        <cfvo type="num" val="$O$65"/>
        <cfvo type="num" val="$P$65"/>
        <color rgb="FFFF0000"/>
        <color rgb="FFFFFF00"/>
        <color rgb="FF00B050"/>
      </colorScale>
    </cfRule>
  </conditionalFormatting>
  <conditionalFormatting sqref="R166:S166">
    <cfRule type="colorScale" priority="20">
      <colorScale>
        <cfvo type="num" val="#REF!"/>
        <cfvo type="num" val="#REF!"/>
        <cfvo type="num" val="#REF!"/>
        <color rgb="FFFF0000"/>
        <color rgb="FFFFFF00"/>
        <color rgb="FF00B050"/>
      </colorScale>
    </cfRule>
  </conditionalFormatting>
  <conditionalFormatting sqref="R165:S165">
    <cfRule type="colorScale" priority="19">
      <colorScale>
        <cfvo type="num" val="$N$64"/>
        <cfvo type="num" val="$O$64"/>
        <cfvo type="num" val="$P$64"/>
        <color rgb="FFFF0000"/>
        <color rgb="FFFFFF00"/>
        <color rgb="FF00B050"/>
      </colorScale>
    </cfRule>
  </conditionalFormatting>
  <conditionalFormatting sqref="R164:S164">
    <cfRule type="colorScale" priority="18">
      <colorScale>
        <cfvo type="num" val="$N$63"/>
        <cfvo type="num" val="$O$63"/>
        <cfvo type="num" val="$P$63"/>
        <color rgb="FFFF0000"/>
        <color rgb="FFFFFF00"/>
        <color rgb="FF00B050"/>
      </colorScale>
    </cfRule>
  </conditionalFormatting>
  <conditionalFormatting sqref="R161:S163">
    <cfRule type="colorScale" priority="17">
      <colorScale>
        <cfvo type="num" val="$N$60"/>
        <cfvo type="num" val="$O$60"/>
        <cfvo type="num" val="$P$60"/>
        <color rgb="FFFF0000"/>
        <color rgb="FFFFFF00"/>
        <color rgb="FF00B050"/>
      </colorScale>
    </cfRule>
  </conditionalFormatting>
  <conditionalFormatting sqref="R160:S160">
    <cfRule type="colorScale" priority="16">
      <colorScale>
        <cfvo type="num" val="$N$59"/>
        <cfvo type="num" val="$O$59"/>
        <cfvo type="num" val="$P$59"/>
        <color rgb="FFFF0000"/>
        <color rgb="FFFFFF00"/>
        <color rgb="FF00B050"/>
      </colorScale>
    </cfRule>
  </conditionalFormatting>
  <conditionalFormatting sqref="R159:S159">
    <cfRule type="colorScale" priority="15">
      <colorScale>
        <cfvo type="num" val="$N$58"/>
        <cfvo type="num" val="$O$58"/>
        <cfvo type="num" val="$P$58"/>
        <color rgb="FFFF0000"/>
        <color rgb="FFFFFF00"/>
        <color rgb="FF00B050"/>
      </colorScale>
    </cfRule>
  </conditionalFormatting>
  <conditionalFormatting sqref="R158:S158">
    <cfRule type="colorScale" priority="14">
      <colorScale>
        <cfvo type="num" val="$N$57"/>
        <cfvo type="num" val="$O$57"/>
        <cfvo type="num" val="$P$57"/>
        <color rgb="FFFF0000"/>
        <color rgb="FFFFFF00"/>
        <color rgb="FF00B050"/>
      </colorScale>
    </cfRule>
  </conditionalFormatting>
  <conditionalFormatting sqref="R157:S157">
    <cfRule type="colorScale" priority="12">
      <colorScale>
        <cfvo type="num" val="$N$56"/>
        <cfvo type="num" val="$O$56"/>
        <cfvo type="num" val="$P$56"/>
        <color rgb="FFFF0000"/>
        <color rgb="FFFFFF00"/>
        <color rgb="FF00B050"/>
      </colorScale>
    </cfRule>
    <cfRule type="colorScale" priority="13">
      <colorScale>
        <cfvo type="num" val="$N$56"/>
        <cfvo type="num" val="$O$56"/>
        <cfvo type="num" val="$P$56"/>
        <color rgb="FFF8696B"/>
        <color rgb="FFFFEB84"/>
        <color rgb="FF63BE7B"/>
      </colorScale>
    </cfRule>
  </conditionalFormatting>
  <conditionalFormatting sqref="R156:S156">
    <cfRule type="colorScale" priority="11">
      <colorScale>
        <cfvo type="num" val="$N$55"/>
        <cfvo type="num" val="$O$55"/>
        <cfvo type="num" val="$P$55"/>
        <color rgb="FFFF0000"/>
        <color rgb="FFFFFF00"/>
        <color rgb="FF00B050"/>
      </colorScale>
    </cfRule>
  </conditionalFormatting>
  <conditionalFormatting sqref="R155:S155">
    <cfRule type="colorScale" priority="10">
      <colorScale>
        <cfvo type="num" val="$N$54"/>
        <cfvo type="num" val="$O$54"/>
        <cfvo type="num" val="$P$54"/>
        <color rgb="FFFF0000"/>
        <color rgb="FFFFFF00"/>
        <color rgb="FF00B050"/>
      </colorScale>
    </cfRule>
  </conditionalFormatting>
  <conditionalFormatting sqref="R154:S154">
    <cfRule type="colorScale" priority="9">
      <colorScale>
        <cfvo type="num" val="$N$53"/>
        <cfvo type="num" val="$O$53"/>
        <cfvo type="num" val="$P$53"/>
        <color rgb="FFFF0000"/>
        <color rgb="FFFFFF00"/>
        <color rgb="FF00B050"/>
      </colorScale>
    </cfRule>
  </conditionalFormatting>
  <conditionalFormatting sqref="R153:S153">
    <cfRule type="colorScale" priority="8">
      <colorScale>
        <cfvo type="num" val="$N$52"/>
        <cfvo type="num" val="$O$52"/>
        <cfvo type="num" val="$P$52"/>
        <color rgb="FFFF0000"/>
        <color rgb="FFFFFF00"/>
        <color rgb="FF00B050"/>
      </colorScale>
    </cfRule>
  </conditionalFormatting>
  <conditionalFormatting sqref="R152:S152">
    <cfRule type="colorScale" priority="7">
      <colorScale>
        <cfvo type="num" val="$N$51"/>
        <cfvo type="num" val="$O$51"/>
        <cfvo type="num" val="$P$51"/>
        <color rgb="FFFF0000"/>
        <color rgb="FFFFFF00"/>
        <color rgb="FF00B050"/>
      </colorScale>
    </cfRule>
  </conditionalFormatting>
  <conditionalFormatting sqref="R151:S151">
    <cfRule type="colorScale" priority="6">
      <colorScale>
        <cfvo type="num" val="$N$50"/>
        <cfvo type="num" val="$O$50"/>
        <cfvo type="num" val="$P$50"/>
        <color rgb="FFFF0000"/>
        <color rgb="FFFFFF00"/>
        <color rgb="FF00B050"/>
      </colorScale>
    </cfRule>
  </conditionalFormatting>
  <conditionalFormatting sqref="R150:S150">
    <cfRule type="colorScale" priority="5">
      <colorScale>
        <cfvo type="num" val="$N$49"/>
        <cfvo type="num" val="$O$49"/>
        <cfvo type="num" val="$P$49"/>
        <color rgb="FFFF0000"/>
        <color rgb="FFFFFF00"/>
        <color rgb="FF00B050"/>
      </colorScale>
    </cfRule>
  </conditionalFormatting>
  <conditionalFormatting sqref="R149:S149">
    <cfRule type="colorScale" priority="4">
      <colorScale>
        <cfvo type="num" val="$N$48"/>
        <cfvo type="num" val="$O$48"/>
        <cfvo type="num" val="$P$48"/>
        <color rgb="FFFF0000"/>
        <color rgb="FFFFFF00"/>
        <color rgb="FF00B050"/>
      </colorScale>
    </cfRule>
  </conditionalFormatting>
  <conditionalFormatting sqref="R147:S148">
    <cfRule type="colorScale" priority="3">
      <colorScale>
        <cfvo type="num" val="$N$46"/>
        <cfvo type="num" val="$O$46"/>
        <cfvo type="num" val="$P$46"/>
        <color rgb="FFFF0000"/>
        <color rgb="FFFFFF00"/>
        <color rgb="FF00B050"/>
      </colorScale>
    </cfRule>
  </conditionalFormatting>
  <conditionalFormatting sqref="R144:S146">
    <cfRule type="colorScale" priority="2">
      <colorScale>
        <cfvo type="num" val="$N$43"/>
        <cfvo type="num" val="$O$43"/>
        <cfvo type="num" val="$P$43"/>
        <color rgb="FFFF0000"/>
        <color rgb="FFFFFF00"/>
        <color rgb="FF00B050"/>
      </colorScale>
    </cfRule>
  </conditionalFormatting>
  <conditionalFormatting sqref="R143:S143">
    <cfRule type="colorScale" priority="1">
      <colorScale>
        <cfvo type="num" val="$N$42"/>
        <cfvo type="num" val="$O$42"/>
        <cfvo type="num" val="$P$42"/>
        <color rgb="FFFF0000"/>
        <color rgb="FFFFFF00"/>
        <color rgb="FF00B050"/>
      </colorScale>
    </cfRule>
  </conditionalFormatting>
  <pageMargins left="0.47244094488188981" right="0.51181102362204722" top="0.51181102362204722" bottom="0.47244094488188981" header="0.51181102362204722" footer="0.51181102362204722"/>
  <pageSetup paperSize="9" orientation="portrait" horizontalDpi="4294967294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CalcularCapacidadeProdutiva">
                <anchor moveWithCells="1">
                  <from>
                    <xdr:col>0</xdr:col>
                    <xdr:colOff>219075</xdr:colOff>
                    <xdr:row>1</xdr:row>
                    <xdr:rowOff>104775</xdr:rowOff>
                  </from>
                  <to>
                    <xdr:col>1</xdr:col>
                    <xdr:colOff>419100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CalcularCapacidadeTodosModelos">
                <anchor moveWithCells="1">
                  <from>
                    <xdr:col>0</xdr:col>
                    <xdr:colOff>228600</xdr:colOff>
                    <xdr:row>2</xdr:row>
                    <xdr:rowOff>247650</xdr:rowOff>
                  </from>
                  <to>
                    <xdr:col>1</xdr:col>
                    <xdr:colOff>428625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VerificarPontoDePedidoNivelado">
                <anchor>
                  <from>
                    <xdr:col>2</xdr:col>
                    <xdr:colOff>457200</xdr:colOff>
                    <xdr:row>1</xdr:row>
                    <xdr:rowOff>47625</xdr:rowOff>
                  </from>
                  <to>
                    <xdr:col>3</xdr:col>
                    <xdr:colOff>200025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AbrirResumoProducao">
                <anchor>
                  <from>
                    <xdr:col>3</xdr:col>
                    <xdr:colOff>390525</xdr:colOff>
                    <xdr:row>1</xdr:row>
                    <xdr:rowOff>47625</xdr:rowOff>
                  </from>
                  <to>
                    <xdr:col>5</xdr:col>
                    <xdr:colOff>38100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Button 15">
              <controlPr defaultSize="0" print="0" autoFill="0" autoPict="0" macro="[0]!ReduzirColunasExcetoSelecionadas">
                <anchor moveWithCells="1">
                  <from>
                    <xdr:col>1</xdr:col>
                    <xdr:colOff>657225</xdr:colOff>
                    <xdr:row>1</xdr:row>
                    <xdr:rowOff>123825</xdr:rowOff>
                  </from>
                  <to>
                    <xdr:col>1</xdr:col>
                    <xdr:colOff>1209675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32"/>
  <sheetViews>
    <sheetView workbookViewId="0">
      <selection sqref="A1:A32"/>
    </sheetView>
  </sheetViews>
  <sheetFormatPr defaultRowHeight="12.75" x14ac:dyDescent="0.2"/>
  <sheetData>
    <row r="1" spans="1:1" x14ac:dyDescent="0.2">
      <c r="A1" t="s">
        <v>1207</v>
      </c>
    </row>
    <row r="2" spans="1:1" x14ac:dyDescent="0.2">
      <c r="A2" s="36" t="s">
        <v>1208</v>
      </c>
    </row>
    <row r="3" spans="1:1" x14ac:dyDescent="0.2">
      <c r="A3" s="36" t="s">
        <v>1209</v>
      </c>
    </row>
    <row r="4" spans="1:1" x14ac:dyDescent="0.2">
      <c r="A4" s="36" t="s">
        <v>1210</v>
      </c>
    </row>
    <row r="5" spans="1:1" x14ac:dyDescent="0.2">
      <c r="A5" s="36" t="s">
        <v>1211</v>
      </c>
    </row>
    <row r="6" spans="1:1" x14ac:dyDescent="0.2">
      <c r="A6" s="36" t="s">
        <v>1208</v>
      </c>
    </row>
    <row r="7" spans="1:1" x14ac:dyDescent="0.2">
      <c r="A7" s="36" t="s">
        <v>1209</v>
      </c>
    </row>
    <row r="8" spans="1:1" x14ac:dyDescent="0.2">
      <c r="A8" s="36" t="s">
        <v>1210</v>
      </c>
    </row>
    <row r="9" spans="1:1" x14ac:dyDescent="0.2">
      <c r="A9" t="s">
        <v>1207</v>
      </c>
    </row>
    <row r="10" spans="1:1" x14ac:dyDescent="0.2">
      <c r="A10" s="36" t="s">
        <v>1208</v>
      </c>
    </row>
    <row r="11" spans="1:1" x14ac:dyDescent="0.2">
      <c r="A11" s="36" t="s">
        <v>1209</v>
      </c>
    </row>
    <row r="12" spans="1:1" x14ac:dyDescent="0.2">
      <c r="A12" s="36" t="s">
        <v>1210</v>
      </c>
    </row>
    <row r="13" spans="1:1" x14ac:dyDescent="0.2">
      <c r="A13" t="s">
        <v>1207</v>
      </c>
    </row>
    <row r="14" spans="1:1" x14ac:dyDescent="0.2">
      <c r="A14" s="36" t="s">
        <v>1208</v>
      </c>
    </row>
    <row r="15" spans="1:1" x14ac:dyDescent="0.2">
      <c r="A15" s="36" t="s">
        <v>1209</v>
      </c>
    </row>
    <row r="16" spans="1:1" x14ac:dyDescent="0.2">
      <c r="A16" s="36" t="s">
        <v>1210</v>
      </c>
    </row>
    <row r="17" spans="1:1" x14ac:dyDescent="0.2">
      <c r="A17" t="s">
        <v>1207</v>
      </c>
    </row>
    <row r="18" spans="1:1" x14ac:dyDescent="0.2">
      <c r="A18" s="36" t="s">
        <v>1208</v>
      </c>
    </row>
    <row r="19" spans="1:1" x14ac:dyDescent="0.2">
      <c r="A19" s="36" t="s">
        <v>1209</v>
      </c>
    </row>
    <row r="20" spans="1:1" x14ac:dyDescent="0.2">
      <c r="A20" s="36" t="s">
        <v>1210</v>
      </c>
    </row>
    <row r="21" spans="1:1" x14ac:dyDescent="0.2">
      <c r="A21" t="s">
        <v>1207</v>
      </c>
    </row>
    <row r="22" spans="1:1" x14ac:dyDescent="0.2">
      <c r="A22" s="36" t="s">
        <v>1208</v>
      </c>
    </row>
    <row r="23" spans="1:1" x14ac:dyDescent="0.2">
      <c r="A23" s="36" t="s">
        <v>1209</v>
      </c>
    </row>
    <row r="24" spans="1:1" x14ac:dyDescent="0.2">
      <c r="A24" s="36" t="s">
        <v>1210</v>
      </c>
    </row>
    <row r="25" spans="1:1" x14ac:dyDescent="0.2">
      <c r="A25" t="s">
        <v>1207</v>
      </c>
    </row>
    <row r="26" spans="1:1" x14ac:dyDescent="0.2">
      <c r="A26" s="36" t="s">
        <v>1208</v>
      </c>
    </row>
    <row r="27" spans="1:1" x14ac:dyDescent="0.2">
      <c r="A27" s="36" t="s">
        <v>1209</v>
      </c>
    </row>
    <row r="28" spans="1:1" x14ac:dyDescent="0.2">
      <c r="A28" s="36" t="s">
        <v>1210</v>
      </c>
    </row>
    <row r="29" spans="1:1" x14ac:dyDescent="0.2">
      <c r="A29" t="s">
        <v>1207</v>
      </c>
    </row>
    <row r="30" spans="1:1" x14ac:dyDescent="0.2">
      <c r="A30" s="36" t="s">
        <v>1208</v>
      </c>
    </row>
    <row r="31" spans="1:1" x14ac:dyDescent="0.2">
      <c r="A31" s="36" t="s">
        <v>1209</v>
      </c>
    </row>
    <row r="32" spans="1:1" x14ac:dyDescent="0.2">
      <c r="A32" s="36" t="s">
        <v>1210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2:I6"/>
  <sheetViews>
    <sheetView workbookViewId="0">
      <selection activeCell="D24" sqref="D24"/>
    </sheetView>
  </sheetViews>
  <sheetFormatPr defaultRowHeight="12.75" x14ac:dyDescent="0.2"/>
  <cols>
    <col min="1" max="1" width="9" bestFit="1" customWidth="1"/>
    <col min="2" max="2" width="17.42578125" bestFit="1" customWidth="1"/>
    <col min="3" max="3" width="32.42578125" bestFit="1" customWidth="1"/>
    <col min="4" max="4" width="14.28515625" bestFit="1" customWidth="1"/>
    <col min="6" max="6" width="19.42578125" customWidth="1"/>
    <col min="8" max="8" width="13.7109375" bestFit="1" customWidth="1"/>
  </cols>
  <sheetData>
    <row r="2" spans="1:9" x14ac:dyDescent="0.2">
      <c r="I2">
        <v>3</v>
      </c>
    </row>
    <row r="3" spans="1:9" ht="25.5" customHeight="1" x14ac:dyDescent="0.2">
      <c r="A3" s="39" t="s">
        <v>474</v>
      </c>
      <c r="B3" s="39" t="s">
        <v>475</v>
      </c>
      <c r="C3" s="39" t="s">
        <v>476</v>
      </c>
      <c r="D3" s="39" t="s">
        <v>477</v>
      </c>
      <c r="E3" s="40"/>
      <c r="F3" s="40" t="s">
        <v>481</v>
      </c>
      <c r="G3" s="41"/>
      <c r="H3" s="41"/>
      <c r="I3" s="41"/>
    </row>
    <row r="4" spans="1:9" x14ac:dyDescent="0.2">
      <c r="A4" s="37" t="s">
        <v>213</v>
      </c>
      <c r="B4" s="37">
        <v>351</v>
      </c>
      <c r="C4" s="37" t="s">
        <v>52</v>
      </c>
      <c r="D4" s="38" t="s">
        <v>379</v>
      </c>
      <c r="F4">
        <v>351</v>
      </c>
    </row>
    <row r="5" spans="1:9" x14ac:dyDescent="0.2">
      <c r="A5" t="s">
        <v>49</v>
      </c>
      <c r="B5">
        <v>304</v>
      </c>
      <c r="C5" t="s">
        <v>191</v>
      </c>
      <c r="D5" t="s">
        <v>157</v>
      </c>
      <c r="F5">
        <v>2</v>
      </c>
    </row>
    <row r="6" spans="1:9" x14ac:dyDescent="0.2">
      <c r="A6" t="s">
        <v>50</v>
      </c>
      <c r="B6">
        <v>2</v>
      </c>
      <c r="C6" t="s">
        <v>574</v>
      </c>
      <c r="D6" t="s">
        <v>321</v>
      </c>
      <c r="F6">
        <v>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K38"/>
  <sheetViews>
    <sheetView workbookViewId="0">
      <selection activeCell="C7" sqref="C7"/>
    </sheetView>
  </sheetViews>
  <sheetFormatPr defaultRowHeight="12.75" x14ac:dyDescent="0.2"/>
  <cols>
    <col min="1" max="1" width="17.42578125" bestFit="1" customWidth="1"/>
    <col min="2" max="2" width="14.28515625" bestFit="1" customWidth="1"/>
    <col min="3" max="3" width="44.7109375" bestFit="1" customWidth="1"/>
    <col min="6" max="6" width="12.7109375" bestFit="1" customWidth="1"/>
    <col min="7" max="7" width="17" bestFit="1" customWidth="1"/>
    <col min="8" max="8" width="19.7109375" bestFit="1" customWidth="1"/>
    <col min="9" max="9" width="15.140625" bestFit="1" customWidth="1"/>
    <col min="10" max="10" width="24.5703125" bestFit="1" customWidth="1"/>
  </cols>
  <sheetData>
    <row r="1" spans="1:11" x14ac:dyDescent="0.2">
      <c r="A1" s="40" t="s">
        <v>1203</v>
      </c>
      <c r="B1" s="40" t="s">
        <v>1204</v>
      </c>
      <c r="C1" s="40" t="s">
        <v>1205</v>
      </c>
      <c r="D1" s="40" t="s">
        <v>480</v>
      </c>
      <c r="E1" s="40"/>
      <c r="F1" s="40" t="s">
        <v>1206</v>
      </c>
      <c r="G1" s="40"/>
      <c r="H1" s="40"/>
      <c r="I1" s="40"/>
      <c r="J1" s="40"/>
      <c r="K1" s="40"/>
    </row>
    <row r="2" spans="1:11" x14ac:dyDescent="0.2">
      <c r="A2" s="42"/>
    </row>
    <row r="3" spans="1:11" x14ac:dyDescent="0.2">
      <c r="A3" s="42"/>
    </row>
    <row r="4" spans="1:11" x14ac:dyDescent="0.2">
      <c r="A4" s="42"/>
    </row>
    <row r="5" spans="1:11" x14ac:dyDescent="0.2">
      <c r="A5" s="42"/>
    </row>
    <row r="6" spans="1:11" x14ac:dyDescent="0.2">
      <c r="A6" s="42"/>
    </row>
    <row r="7" spans="1:11" x14ac:dyDescent="0.2">
      <c r="A7" s="42"/>
    </row>
    <row r="8" spans="1:11" x14ac:dyDescent="0.2">
      <c r="A8" s="42"/>
    </row>
    <row r="9" spans="1:11" x14ac:dyDescent="0.2">
      <c r="A9" s="42"/>
    </row>
    <row r="10" spans="1:11" x14ac:dyDescent="0.2">
      <c r="A10" s="42"/>
    </row>
    <row r="11" spans="1:11" x14ac:dyDescent="0.2">
      <c r="A11" s="42"/>
    </row>
    <row r="12" spans="1:11" x14ac:dyDescent="0.2">
      <c r="A12" s="42"/>
    </row>
    <row r="13" spans="1:11" x14ac:dyDescent="0.2">
      <c r="A13" s="42"/>
    </row>
    <row r="14" spans="1:11" x14ac:dyDescent="0.2">
      <c r="A14" s="42"/>
    </row>
    <row r="15" spans="1:11" x14ac:dyDescent="0.2">
      <c r="A15" s="42"/>
    </row>
    <row r="16" spans="1:11" x14ac:dyDescent="0.2">
      <c r="A16" s="42"/>
    </row>
    <row r="17" spans="1:1" x14ac:dyDescent="0.2">
      <c r="A17" s="42"/>
    </row>
    <row r="18" spans="1:1" x14ac:dyDescent="0.2">
      <c r="A18" s="42"/>
    </row>
    <row r="19" spans="1:1" x14ac:dyDescent="0.2">
      <c r="A19" s="42"/>
    </row>
    <row r="20" spans="1:1" x14ac:dyDescent="0.2">
      <c r="A20" s="42"/>
    </row>
    <row r="21" spans="1:1" x14ac:dyDescent="0.2">
      <c r="A21" s="42"/>
    </row>
    <row r="22" spans="1:1" x14ac:dyDescent="0.2">
      <c r="A22" s="42"/>
    </row>
    <row r="23" spans="1:1" x14ac:dyDescent="0.2">
      <c r="A23" s="42"/>
    </row>
    <row r="24" spans="1:1" x14ac:dyDescent="0.2">
      <c r="A24" s="42"/>
    </row>
    <row r="25" spans="1:1" x14ac:dyDescent="0.2">
      <c r="A25" s="42"/>
    </row>
    <row r="26" spans="1:1" x14ac:dyDescent="0.2">
      <c r="A26" s="42"/>
    </row>
    <row r="27" spans="1:1" x14ac:dyDescent="0.2">
      <c r="A27" s="42"/>
    </row>
    <row r="28" spans="1:1" x14ac:dyDescent="0.2">
      <c r="A28" s="42"/>
    </row>
    <row r="29" spans="1:1" x14ac:dyDescent="0.2">
      <c r="A29" s="42"/>
    </row>
    <row r="30" spans="1:1" x14ac:dyDescent="0.2">
      <c r="A30" s="42"/>
    </row>
    <row r="31" spans="1:1" x14ac:dyDescent="0.2">
      <c r="A31" s="42"/>
    </row>
    <row r="32" spans="1:1" x14ac:dyDescent="0.2">
      <c r="A32" s="42"/>
    </row>
    <row r="33" spans="1:1" x14ac:dyDescent="0.2">
      <c r="A33" s="42"/>
    </row>
    <row r="34" spans="1:1" x14ac:dyDescent="0.2">
      <c r="A34" s="42"/>
    </row>
    <row r="35" spans="1:1" x14ac:dyDescent="0.2">
      <c r="A35" s="42"/>
    </row>
    <row r="36" spans="1:1" x14ac:dyDescent="0.2">
      <c r="A36" s="42"/>
    </row>
    <row r="37" spans="1:1" x14ac:dyDescent="0.2">
      <c r="A37" s="42"/>
    </row>
    <row r="38" spans="1:1" x14ac:dyDescent="0.2">
      <c r="A38" s="42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FF00"/>
    <pageSetUpPr fitToPage="1"/>
  </sheetPr>
  <dimension ref="B1:AC134"/>
  <sheetViews>
    <sheetView showGridLines="0" topLeftCell="L1" zoomScaleNormal="100" workbookViewId="0">
      <selection activeCell="W7" sqref="W7"/>
    </sheetView>
  </sheetViews>
  <sheetFormatPr defaultColWidth="8.85546875" defaultRowHeight="14.25" x14ac:dyDescent="0.2"/>
  <cols>
    <col min="1" max="1" width="3" style="1" customWidth="1"/>
    <col min="2" max="2" width="3.28515625" style="1" bestFit="1" customWidth="1"/>
    <col min="3" max="3" width="61.5703125" style="1" bestFit="1" customWidth="1"/>
    <col min="4" max="4" width="14" style="1" bestFit="1" customWidth="1"/>
    <col min="5" max="5" width="16" style="1" bestFit="1" customWidth="1"/>
    <col min="6" max="6" width="13.42578125" style="1" bestFit="1" customWidth="1"/>
    <col min="7" max="7" width="23.28515625" style="1" bestFit="1" customWidth="1"/>
    <col min="8" max="8" width="4.42578125" style="1" customWidth="1"/>
    <col min="9" max="9" width="3.28515625" style="1" customWidth="1"/>
    <col min="10" max="10" width="8.85546875" style="1"/>
    <col min="11" max="11" width="84" style="1" customWidth="1"/>
    <col min="12" max="12" width="12" style="1" customWidth="1"/>
    <col min="13" max="13" width="27.140625" style="1" customWidth="1"/>
    <col min="14" max="14" width="12.5703125" style="32" customWidth="1"/>
    <col min="15" max="15" width="9.85546875" style="32" customWidth="1"/>
    <col min="16" max="16" width="10.5703125" style="1" customWidth="1"/>
    <col min="17" max="17" width="8.85546875" style="2" customWidth="1"/>
    <col min="18" max="18" width="11" style="2" customWidth="1"/>
    <col min="19" max="19" width="13" style="2" customWidth="1"/>
    <col min="20" max="20" width="12.85546875" style="2" customWidth="1"/>
    <col min="21" max="21" width="14" style="2" customWidth="1"/>
    <col min="22" max="23" width="13.28515625" style="2" customWidth="1"/>
    <col min="24" max="24" width="11.42578125" style="2" bestFit="1" customWidth="1"/>
    <col min="25" max="25" width="11" style="2" bestFit="1" customWidth="1"/>
    <col min="26" max="26" width="18.7109375" style="2" bestFit="1" customWidth="1"/>
    <col min="27" max="27" width="13" style="2" bestFit="1" customWidth="1"/>
    <col min="28" max="28" width="15" style="2" customWidth="1"/>
    <col min="29" max="29" width="14.5703125" style="2" bestFit="1" customWidth="1"/>
    <col min="30" max="16384" width="8.85546875" style="1"/>
  </cols>
  <sheetData>
    <row r="1" spans="2:29" ht="15" thickBot="1" x14ac:dyDescent="0.25"/>
    <row r="2" spans="2:29" ht="41.25" customHeight="1" thickBot="1" x14ac:dyDescent="0.25">
      <c r="L2" s="45" t="s">
        <v>259</v>
      </c>
      <c r="M2" s="46"/>
      <c r="N2" s="47"/>
      <c r="O2" s="47"/>
      <c r="P2" s="46"/>
      <c r="Q2" s="46"/>
      <c r="R2" s="46"/>
      <c r="S2" s="46"/>
      <c r="T2" s="46"/>
      <c r="U2" s="46"/>
      <c r="V2" s="48"/>
      <c r="W2" s="33"/>
      <c r="X2" s="1"/>
      <c r="Y2" s="1"/>
      <c r="Z2" s="1"/>
      <c r="AA2" s="1"/>
      <c r="AB2" s="1"/>
      <c r="AC2" s="1"/>
    </row>
    <row r="3" spans="2:29" ht="16.5" thickBot="1" x14ac:dyDescent="0.25">
      <c r="L3" s="3" t="s">
        <v>260</v>
      </c>
      <c r="M3" s="4" t="s">
        <v>261</v>
      </c>
      <c r="N3" s="4" t="s">
        <v>262</v>
      </c>
      <c r="O3" s="4" t="s">
        <v>315</v>
      </c>
      <c r="P3" s="4" t="s">
        <v>309</v>
      </c>
      <c r="Q3" s="4" t="s">
        <v>263</v>
      </c>
      <c r="R3" s="4" t="s">
        <v>264</v>
      </c>
      <c r="S3" s="4" t="s">
        <v>265</v>
      </c>
      <c r="T3" s="4" t="s">
        <v>266</v>
      </c>
      <c r="U3" s="4" t="s">
        <v>267</v>
      </c>
      <c r="V3" s="5" t="s">
        <v>268</v>
      </c>
      <c r="W3" s="34" t="s">
        <v>269</v>
      </c>
      <c r="X3" s="1"/>
      <c r="Y3" s="1"/>
      <c r="Z3" s="1"/>
      <c r="AA3" s="1"/>
      <c r="AB3" s="1"/>
      <c r="AC3" s="1"/>
    </row>
    <row r="4" spans="2:29" ht="16.5" thickBot="1" x14ac:dyDescent="0.25">
      <c r="B4" s="6"/>
      <c r="L4" s="28"/>
      <c r="M4" s="31">
        <v>0.9</v>
      </c>
      <c r="N4" s="31">
        <v>0.92</v>
      </c>
      <c r="O4" s="31">
        <v>0.95</v>
      </c>
      <c r="P4" s="29">
        <v>0.99</v>
      </c>
      <c r="Q4" s="30"/>
      <c r="R4" s="29"/>
      <c r="S4" s="30"/>
      <c r="T4" s="29"/>
      <c r="U4" s="29"/>
      <c r="V4" s="29"/>
      <c r="W4" s="35"/>
      <c r="X4" s="1"/>
      <c r="Y4" s="1"/>
      <c r="Z4" s="1"/>
      <c r="AA4" s="1"/>
      <c r="AB4" s="1"/>
      <c r="AC4" s="1"/>
    </row>
    <row r="5" spans="2:29" x14ac:dyDescent="0.2">
      <c r="B5" s="6"/>
      <c r="L5" s="2"/>
      <c r="M5" s="2"/>
      <c r="N5" s="2"/>
      <c r="O5" s="2"/>
      <c r="P5" s="2"/>
      <c r="X5" s="1"/>
      <c r="Y5" s="1"/>
      <c r="Z5" s="1"/>
      <c r="AA5" s="1"/>
      <c r="AB5" s="1"/>
      <c r="AC5" s="1"/>
    </row>
    <row r="6" spans="2:29" ht="15.75" x14ac:dyDescent="0.25">
      <c r="B6" s="6"/>
      <c r="C6" s="7" t="s">
        <v>270</v>
      </c>
      <c r="D6" s="7" t="s">
        <v>271</v>
      </c>
      <c r="E6" s="8"/>
      <c r="F6" s="8"/>
      <c r="G6" s="8" t="s">
        <v>272</v>
      </c>
      <c r="L6" s="2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2:29" ht="15.75" x14ac:dyDescent="0.25">
      <c r="B7" s="6"/>
      <c r="C7" s="9" t="s">
        <v>273</v>
      </c>
      <c r="D7" s="10" t="s">
        <v>2</v>
      </c>
      <c r="E7" s="11"/>
      <c r="F7" s="11"/>
      <c r="G7" s="12" t="e">
        <f t="shared" ref="G7:G129" si="0">SMALL(E7:F7,1)/LARGE(E7:F7,1)</f>
        <v>#NUM!</v>
      </c>
      <c r="M7" s="7" t="s">
        <v>270</v>
      </c>
      <c r="N7" s="8" t="s">
        <v>274</v>
      </c>
      <c r="O7" s="8" t="s">
        <v>275</v>
      </c>
      <c r="P7" s="8" t="s">
        <v>272</v>
      </c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2:29" ht="15.75" customHeight="1" x14ac:dyDescent="0.2">
      <c r="B8" s="6"/>
      <c r="C8" s="13" t="s">
        <v>11</v>
      </c>
      <c r="D8" s="14" t="s">
        <v>108</v>
      </c>
      <c r="E8" s="15"/>
      <c r="F8" s="15"/>
      <c r="G8" s="12" t="e">
        <f t="shared" si="0"/>
        <v>#NUM!</v>
      </c>
      <c r="M8" s="23" t="s">
        <v>437</v>
      </c>
      <c r="N8" s="17">
        <v>14</v>
      </c>
      <c r="O8" s="17">
        <v>14</v>
      </c>
      <c r="P8" s="12">
        <f>SMALL(N8:O8,1)/LARGE(N8:O8,1)</f>
        <v>1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2:29" x14ac:dyDescent="0.2">
      <c r="B9" s="6"/>
      <c r="C9" s="16" t="s">
        <v>22</v>
      </c>
      <c r="D9" s="18" t="s">
        <v>24</v>
      </c>
      <c r="E9" s="15"/>
      <c r="F9" s="15"/>
      <c r="G9" s="12" t="e">
        <f t="shared" si="0"/>
        <v>#NUM!</v>
      </c>
      <c r="M9" s="27" t="s">
        <v>438</v>
      </c>
      <c r="N9" s="19">
        <v>23</v>
      </c>
      <c r="O9" s="19">
        <v>23</v>
      </c>
      <c r="P9" s="12">
        <f t="shared" ref="P9:P89" si="1">SMALL(N9:O9,1)/LARGE(N9:O9,1)</f>
        <v>1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2:29" x14ac:dyDescent="0.2">
      <c r="B10" s="6"/>
      <c r="C10" s="16" t="s">
        <v>30</v>
      </c>
      <c r="D10" s="18" t="s">
        <v>8</v>
      </c>
      <c r="E10" s="11"/>
      <c r="F10" s="15"/>
      <c r="G10" s="12" t="e">
        <f t="shared" si="0"/>
        <v>#NUM!</v>
      </c>
      <c r="M10" s="23" t="s">
        <v>1</v>
      </c>
      <c r="N10" s="17">
        <v>109</v>
      </c>
      <c r="O10" s="19">
        <v>110</v>
      </c>
      <c r="P10" s="12">
        <f t="shared" si="1"/>
        <v>0.99090909090909096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2:29" x14ac:dyDescent="0.2">
      <c r="B11" s="6"/>
      <c r="C11" s="13" t="s">
        <v>68</v>
      </c>
      <c r="D11" s="14" t="s">
        <v>67</v>
      </c>
      <c r="E11" s="11"/>
      <c r="F11" s="11"/>
      <c r="G11" s="12" t="e">
        <f t="shared" si="0"/>
        <v>#NUM!</v>
      </c>
      <c r="M11" s="27" t="s">
        <v>440</v>
      </c>
      <c r="N11" s="17">
        <v>87</v>
      </c>
      <c r="O11" s="17">
        <v>87</v>
      </c>
      <c r="P11" s="12">
        <f t="shared" si="1"/>
        <v>1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2:29" x14ac:dyDescent="0.2">
      <c r="B12" s="6"/>
      <c r="C12" s="20" t="s">
        <v>276</v>
      </c>
      <c r="D12" s="10" t="s">
        <v>123</v>
      </c>
      <c r="E12" s="15"/>
      <c r="F12" s="15"/>
      <c r="G12" s="12" t="e">
        <f t="shared" si="0"/>
        <v>#NUM!</v>
      </c>
      <c r="M12" s="27" t="s">
        <v>441</v>
      </c>
      <c r="N12" s="19">
        <v>102</v>
      </c>
      <c r="O12" s="19">
        <v>102</v>
      </c>
      <c r="P12" s="12">
        <f t="shared" si="1"/>
        <v>1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2:29" x14ac:dyDescent="0.2">
      <c r="B13" s="6"/>
      <c r="C13" s="20" t="s">
        <v>127</v>
      </c>
      <c r="D13" s="10" t="s">
        <v>126</v>
      </c>
      <c r="E13" s="15"/>
      <c r="F13" s="15"/>
      <c r="G13" s="12" t="e">
        <f t="shared" si="0"/>
        <v>#NUM!</v>
      </c>
      <c r="M13" s="23" t="s">
        <v>442</v>
      </c>
      <c r="N13" s="19">
        <v>162</v>
      </c>
      <c r="O13" s="19">
        <v>162</v>
      </c>
      <c r="P13" s="12">
        <f t="shared" si="1"/>
        <v>1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2:29" x14ac:dyDescent="0.2">
      <c r="B14" s="6"/>
      <c r="C14" s="13" t="s">
        <v>70</v>
      </c>
      <c r="D14" s="18" t="s">
        <v>69</v>
      </c>
      <c r="E14" s="15"/>
      <c r="F14" s="15"/>
      <c r="G14" s="12" t="e">
        <f t="shared" si="0"/>
        <v>#NUM!</v>
      </c>
      <c r="M14" s="27" t="s">
        <v>443</v>
      </c>
      <c r="N14" s="19">
        <v>173</v>
      </c>
      <c r="O14" s="19">
        <v>173</v>
      </c>
      <c r="P14" s="12">
        <f t="shared" si="1"/>
        <v>1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2:29" x14ac:dyDescent="0.2">
      <c r="B15" s="6"/>
      <c r="C15" s="16" t="s">
        <v>277</v>
      </c>
      <c r="D15" s="18" t="s">
        <v>101</v>
      </c>
      <c r="E15" s="11"/>
      <c r="F15" s="15"/>
      <c r="G15" s="12" t="e">
        <f t="shared" si="0"/>
        <v>#NUM!</v>
      </c>
      <c r="M15" s="27" t="s">
        <v>444</v>
      </c>
      <c r="N15" s="19">
        <v>312</v>
      </c>
      <c r="O15" s="19">
        <v>312</v>
      </c>
      <c r="P15" s="12">
        <f t="shared" si="1"/>
        <v>1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2:29" x14ac:dyDescent="0.2">
      <c r="B16" s="6"/>
      <c r="C16" s="13" t="s">
        <v>278</v>
      </c>
      <c r="D16" s="14" t="s">
        <v>93</v>
      </c>
      <c r="E16" s="11"/>
      <c r="F16" s="15"/>
      <c r="G16" s="12" t="e">
        <f t="shared" si="0"/>
        <v>#NUM!</v>
      </c>
      <c r="M16" s="23" t="s">
        <v>445</v>
      </c>
      <c r="N16" s="17">
        <v>97</v>
      </c>
      <c r="O16" s="19">
        <v>97</v>
      </c>
      <c r="P16" s="12">
        <f t="shared" si="1"/>
        <v>1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2:29" x14ac:dyDescent="0.2">
      <c r="B17" s="6"/>
      <c r="C17" s="16" t="s">
        <v>279</v>
      </c>
      <c r="D17" s="14" t="s">
        <v>116</v>
      </c>
      <c r="E17" s="15"/>
      <c r="F17" s="15"/>
      <c r="G17" s="12" t="e">
        <f t="shared" si="0"/>
        <v>#NUM!</v>
      </c>
      <c r="M17" s="27" t="s">
        <v>14</v>
      </c>
      <c r="N17" s="19">
        <v>177</v>
      </c>
      <c r="O17" s="19">
        <v>177</v>
      </c>
      <c r="P17" s="12">
        <f t="shared" si="1"/>
        <v>1</v>
      </c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2:29" x14ac:dyDescent="0.2">
      <c r="B18" s="6"/>
      <c r="C18" s="16" t="s">
        <v>280</v>
      </c>
      <c r="D18" s="18" t="s">
        <v>205</v>
      </c>
      <c r="E18" s="15"/>
      <c r="F18" s="15"/>
      <c r="G18" s="12" t="e">
        <f t="shared" si="0"/>
        <v>#NUM!</v>
      </c>
      <c r="M18" s="27" t="s">
        <v>18</v>
      </c>
      <c r="N18" s="19">
        <v>155</v>
      </c>
      <c r="O18" s="19">
        <v>155</v>
      </c>
      <c r="P18" s="12">
        <f t="shared" si="1"/>
        <v>1</v>
      </c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2:29" x14ac:dyDescent="0.2">
      <c r="B19" s="6"/>
      <c r="C19" s="20" t="s">
        <v>281</v>
      </c>
      <c r="D19" s="10" t="s">
        <v>131</v>
      </c>
      <c r="E19" s="15"/>
      <c r="F19" s="15"/>
      <c r="G19" s="12" t="e">
        <f t="shared" si="0"/>
        <v>#NUM!</v>
      </c>
      <c r="M19" s="27" t="s">
        <v>22</v>
      </c>
      <c r="N19" s="19">
        <v>128</v>
      </c>
      <c r="O19" s="19">
        <v>128</v>
      </c>
      <c r="P19" s="12">
        <f t="shared" si="1"/>
        <v>1</v>
      </c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2:29" x14ac:dyDescent="0.2">
      <c r="B20" s="6"/>
      <c r="C20" s="20" t="s">
        <v>282</v>
      </c>
      <c r="D20" s="10" t="s">
        <v>132</v>
      </c>
      <c r="E20" s="15"/>
      <c r="F20" s="15"/>
      <c r="G20" s="12" t="e">
        <f t="shared" si="0"/>
        <v>#NUM!</v>
      </c>
      <c r="M20" s="27" t="s">
        <v>36</v>
      </c>
      <c r="N20" s="17">
        <v>103</v>
      </c>
      <c r="O20" s="17">
        <v>103</v>
      </c>
      <c r="P20" s="12">
        <f t="shared" si="1"/>
        <v>1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2:29" x14ac:dyDescent="0.2">
      <c r="B21" s="6"/>
      <c r="C21" s="16" t="s">
        <v>19</v>
      </c>
      <c r="D21" s="18" t="s">
        <v>40</v>
      </c>
      <c r="E21" s="15"/>
      <c r="F21" s="15"/>
      <c r="G21" s="12" t="e">
        <f t="shared" si="0"/>
        <v>#NUM!</v>
      </c>
      <c r="M21" s="23" t="s">
        <v>446</v>
      </c>
      <c r="N21" s="19">
        <v>56</v>
      </c>
      <c r="O21" s="19">
        <v>56</v>
      </c>
      <c r="P21" s="12">
        <f t="shared" si="1"/>
        <v>1</v>
      </c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2:29" x14ac:dyDescent="0.2">
      <c r="B22" s="6"/>
      <c r="C22" s="13" t="s">
        <v>283</v>
      </c>
      <c r="D22" s="14" t="s">
        <v>86</v>
      </c>
      <c r="E22" s="15"/>
      <c r="F22" s="15"/>
      <c r="G22" s="12" t="e">
        <f t="shared" si="0"/>
        <v>#NUM!</v>
      </c>
      <c r="M22" s="23" t="s">
        <v>447</v>
      </c>
      <c r="N22" s="19">
        <v>28</v>
      </c>
      <c r="O22" s="19">
        <v>28</v>
      </c>
      <c r="P22" s="12">
        <f t="shared" si="1"/>
        <v>1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2:29" x14ac:dyDescent="0.2">
      <c r="B23" s="6"/>
      <c r="C23" s="13" t="s">
        <v>27</v>
      </c>
      <c r="D23" s="14" t="s">
        <v>113</v>
      </c>
      <c r="E23" s="15"/>
      <c r="F23" s="15"/>
      <c r="G23" s="12" t="e">
        <f t="shared" si="0"/>
        <v>#NUM!</v>
      </c>
      <c r="M23" s="27" t="s">
        <v>448</v>
      </c>
      <c r="N23" s="19">
        <v>387</v>
      </c>
      <c r="O23" s="19">
        <v>387</v>
      </c>
      <c r="P23" s="12">
        <f t="shared" si="1"/>
        <v>1</v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2:29" x14ac:dyDescent="0.2">
      <c r="B24" s="6"/>
      <c r="C24" s="13" t="s">
        <v>284</v>
      </c>
      <c r="D24" s="14" t="s">
        <v>285</v>
      </c>
      <c r="E24" s="15"/>
      <c r="F24" s="15"/>
      <c r="G24" s="12" t="e">
        <f t="shared" si="0"/>
        <v>#NUM!</v>
      </c>
      <c r="M24" s="27" t="s">
        <v>449</v>
      </c>
      <c r="N24" s="17">
        <v>254</v>
      </c>
      <c r="O24" s="19">
        <v>254</v>
      </c>
      <c r="P24" s="12">
        <f t="shared" si="1"/>
        <v>1</v>
      </c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2:29" x14ac:dyDescent="0.2">
      <c r="B25" s="6"/>
      <c r="C25" s="16" t="s">
        <v>36</v>
      </c>
      <c r="D25" s="18" t="s">
        <v>35</v>
      </c>
      <c r="E25" s="15"/>
      <c r="F25" s="15"/>
      <c r="G25" s="12" t="e">
        <f t="shared" si="0"/>
        <v>#NUM!</v>
      </c>
      <c r="M25" s="23" t="s">
        <v>450</v>
      </c>
      <c r="N25" s="19">
        <v>39</v>
      </c>
      <c r="O25" s="19">
        <v>39</v>
      </c>
      <c r="P25" s="12">
        <f t="shared" si="1"/>
        <v>1</v>
      </c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2:29" x14ac:dyDescent="0.2">
      <c r="B26" s="6"/>
      <c r="C26" s="13" t="s">
        <v>9</v>
      </c>
      <c r="D26" s="14" t="s">
        <v>106</v>
      </c>
      <c r="E26" s="15"/>
      <c r="F26" s="15"/>
      <c r="G26" s="12" t="e">
        <f t="shared" si="0"/>
        <v>#NUM!</v>
      </c>
      <c r="M26" s="27" t="s">
        <v>451</v>
      </c>
      <c r="N26" s="17">
        <v>40</v>
      </c>
      <c r="O26" s="17">
        <v>40</v>
      </c>
      <c r="P26" s="12">
        <f t="shared" si="1"/>
        <v>1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2:29" x14ac:dyDescent="0.2">
      <c r="B27" s="6"/>
      <c r="C27" s="16" t="s">
        <v>286</v>
      </c>
      <c r="D27" s="18" t="s">
        <v>120</v>
      </c>
      <c r="E27" s="11"/>
      <c r="F27" s="11"/>
      <c r="G27" s="12" t="e">
        <f t="shared" si="0"/>
        <v>#NUM!</v>
      </c>
      <c r="M27" s="23" t="s">
        <v>38</v>
      </c>
      <c r="N27" s="19">
        <v>781</v>
      </c>
      <c r="O27" s="19">
        <v>781</v>
      </c>
      <c r="P27" s="12">
        <f t="shared" si="1"/>
        <v>1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2:29" x14ac:dyDescent="0.2">
      <c r="B28" s="6"/>
      <c r="C28" s="13" t="s">
        <v>66</v>
      </c>
      <c r="D28" s="18" t="s">
        <v>65</v>
      </c>
      <c r="E28" s="15"/>
      <c r="F28" s="15"/>
      <c r="G28" s="12" t="e">
        <f t="shared" si="0"/>
        <v>#NUM!</v>
      </c>
      <c r="M28" s="27" t="s">
        <v>452</v>
      </c>
      <c r="N28" s="19">
        <v>185</v>
      </c>
      <c r="O28" s="19">
        <v>185</v>
      </c>
      <c r="P28" s="12">
        <f t="shared" si="1"/>
        <v>1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2:29" x14ac:dyDescent="0.2">
      <c r="B29" s="6"/>
      <c r="C29" s="13" t="s">
        <v>83</v>
      </c>
      <c r="D29" s="14" t="s">
        <v>117</v>
      </c>
      <c r="E29" s="15"/>
      <c r="F29" s="15"/>
      <c r="G29" s="12" t="e">
        <f t="shared" si="0"/>
        <v>#NUM!</v>
      </c>
      <c r="M29" s="23" t="s">
        <v>453</v>
      </c>
      <c r="N29" s="19">
        <v>68</v>
      </c>
      <c r="O29" s="19">
        <v>68</v>
      </c>
      <c r="P29" s="12">
        <f t="shared" si="1"/>
        <v>1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2:29" x14ac:dyDescent="0.2">
      <c r="B30" s="6"/>
      <c r="C30" s="13"/>
      <c r="D30" s="14"/>
      <c r="E30" s="15"/>
      <c r="F30" s="15"/>
      <c r="G30" s="12"/>
      <c r="M30" s="23" t="s">
        <v>454</v>
      </c>
      <c r="N30" s="19">
        <v>310</v>
      </c>
      <c r="O30" s="19">
        <v>310</v>
      </c>
      <c r="P30" s="12">
        <f t="shared" si="1"/>
        <v>1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2:29" x14ac:dyDescent="0.2">
      <c r="B31" s="6"/>
      <c r="C31" s="13"/>
      <c r="D31" s="14"/>
      <c r="E31" s="15"/>
      <c r="F31" s="15"/>
      <c r="G31" s="12"/>
      <c r="M31" s="23" t="s">
        <v>455</v>
      </c>
      <c r="N31" s="19">
        <v>71</v>
      </c>
      <c r="O31" s="19">
        <v>71</v>
      </c>
      <c r="P31" s="12">
        <f t="shared" si="1"/>
        <v>1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2:29" x14ac:dyDescent="0.2">
      <c r="B32" s="6"/>
      <c r="C32" s="13"/>
      <c r="D32" s="14"/>
      <c r="E32" s="15"/>
      <c r="F32" s="15"/>
      <c r="G32" s="12"/>
      <c r="M32" s="23" t="s">
        <v>440</v>
      </c>
      <c r="N32" s="19">
        <v>103</v>
      </c>
      <c r="O32" s="19">
        <v>103</v>
      </c>
      <c r="P32" s="12">
        <f t="shared" si="1"/>
        <v>1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2:29" x14ac:dyDescent="0.2">
      <c r="B33" s="6"/>
      <c r="C33" s="13"/>
      <c r="D33" s="14"/>
      <c r="E33" s="15"/>
      <c r="F33" s="15"/>
      <c r="G33" s="12"/>
      <c r="M33" s="23" t="s">
        <v>70</v>
      </c>
      <c r="N33" s="19">
        <v>133</v>
      </c>
      <c r="O33" s="19">
        <v>133</v>
      </c>
      <c r="P33" s="12">
        <f t="shared" si="1"/>
        <v>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2:29" x14ac:dyDescent="0.2">
      <c r="B34" s="6"/>
      <c r="C34" s="13"/>
      <c r="D34" s="14"/>
      <c r="E34" s="15"/>
      <c r="F34" s="15"/>
      <c r="G34" s="12"/>
      <c r="M34" s="23" t="s">
        <v>456</v>
      </c>
      <c r="N34" s="19">
        <v>140</v>
      </c>
      <c r="O34" s="19">
        <v>140</v>
      </c>
      <c r="P34" s="12">
        <f t="shared" si="1"/>
        <v>1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2:29" x14ac:dyDescent="0.2">
      <c r="B35" s="6"/>
      <c r="C35" s="13"/>
      <c r="D35" s="14"/>
      <c r="E35" s="15"/>
      <c r="F35" s="15"/>
      <c r="G35" s="12"/>
      <c r="M35" s="23" t="s">
        <v>457</v>
      </c>
      <c r="N35" s="19">
        <v>208</v>
      </c>
      <c r="O35" s="19">
        <v>208</v>
      </c>
      <c r="P35" s="12">
        <f t="shared" si="1"/>
        <v>1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2:29" x14ac:dyDescent="0.2">
      <c r="B36" s="6"/>
      <c r="C36" s="13"/>
      <c r="D36" s="14"/>
      <c r="E36" s="15"/>
      <c r="F36" s="15"/>
      <c r="G36" s="12"/>
      <c r="M36" s="23" t="s">
        <v>458</v>
      </c>
      <c r="N36" s="19">
        <v>96</v>
      </c>
      <c r="O36" s="19">
        <v>96</v>
      </c>
      <c r="P36" s="12">
        <f t="shared" si="1"/>
        <v>1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2:29" x14ac:dyDescent="0.2">
      <c r="B37" s="6"/>
      <c r="C37" s="13"/>
      <c r="D37" s="14"/>
      <c r="E37" s="15"/>
      <c r="F37" s="15"/>
      <c r="G37" s="12"/>
      <c r="M37" s="23" t="s">
        <v>459</v>
      </c>
      <c r="N37" s="19">
        <v>35</v>
      </c>
      <c r="O37" s="19">
        <v>35</v>
      </c>
      <c r="P37" s="12">
        <f t="shared" si="1"/>
        <v>1</v>
      </c>
      <c r="Q37" s="1"/>
      <c r="R37" s="1"/>
      <c r="S37" s="1"/>
      <c r="T37" s="32"/>
      <c r="U37" s="1"/>
      <c r="V37" s="1"/>
      <c r="W37" s="1"/>
      <c r="X37" s="1"/>
      <c r="Y37" s="1"/>
      <c r="Z37" s="1"/>
      <c r="AA37" s="1"/>
      <c r="AB37" s="1"/>
      <c r="AC37" s="1"/>
    </row>
    <row r="38" spans="2:29" x14ac:dyDescent="0.2">
      <c r="B38" s="6"/>
      <c r="C38" s="13"/>
      <c r="D38" s="14"/>
      <c r="E38" s="15"/>
      <c r="F38" s="15"/>
      <c r="G38" s="12"/>
      <c r="M38" s="23" t="s">
        <v>460</v>
      </c>
      <c r="N38" s="19">
        <v>44</v>
      </c>
      <c r="O38" s="19">
        <v>44</v>
      </c>
      <c r="P38" s="12">
        <f t="shared" si="1"/>
        <v>1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2:29" x14ac:dyDescent="0.2">
      <c r="B39" s="6"/>
      <c r="C39" s="13"/>
      <c r="D39" s="14"/>
      <c r="E39" s="15"/>
      <c r="F39" s="15"/>
      <c r="G39" s="12"/>
      <c r="M39" s="23" t="s">
        <v>163</v>
      </c>
      <c r="N39" s="19">
        <v>223</v>
      </c>
      <c r="O39" s="19">
        <v>223</v>
      </c>
      <c r="P39" s="12">
        <f t="shared" si="1"/>
        <v>1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2:29" x14ac:dyDescent="0.2">
      <c r="B40" s="6"/>
      <c r="C40" s="13"/>
      <c r="D40" s="14"/>
      <c r="E40" s="15"/>
      <c r="F40" s="15"/>
      <c r="G40" s="12"/>
      <c r="M40" s="23" t="s">
        <v>461</v>
      </c>
      <c r="N40" s="19">
        <v>98</v>
      </c>
      <c r="O40" s="19">
        <v>98</v>
      </c>
      <c r="P40" s="12">
        <f t="shared" si="1"/>
        <v>1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2:29" x14ac:dyDescent="0.2">
      <c r="B41" s="6"/>
      <c r="C41" s="13"/>
      <c r="D41" s="14"/>
      <c r="E41" s="15"/>
      <c r="F41" s="15"/>
      <c r="G41" s="12"/>
      <c r="M41" s="23" t="s">
        <v>462</v>
      </c>
      <c r="N41" s="19">
        <v>98</v>
      </c>
      <c r="O41" s="19">
        <v>98</v>
      </c>
      <c r="P41" s="12">
        <f t="shared" si="1"/>
        <v>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2:29" x14ac:dyDescent="0.2">
      <c r="B42" s="6"/>
      <c r="C42" s="13"/>
      <c r="D42" s="14"/>
      <c r="E42" s="15"/>
      <c r="F42" s="15"/>
      <c r="G42" s="12"/>
      <c r="M42" s="23" t="s">
        <v>463</v>
      </c>
      <c r="N42" s="19">
        <v>98</v>
      </c>
      <c r="O42" s="19">
        <v>98</v>
      </c>
      <c r="P42" s="12">
        <f t="shared" si="1"/>
        <v>1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2:29" x14ac:dyDescent="0.2">
      <c r="B43" s="6"/>
      <c r="C43" s="13"/>
      <c r="D43" s="14"/>
      <c r="E43" s="15"/>
      <c r="F43" s="15"/>
      <c r="G43" s="12"/>
      <c r="M43" s="23" t="s">
        <v>464</v>
      </c>
      <c r="N43" s="19">
        <v>873</v>
      </c>
      <c r="O43" s="19">
        <v>873</v>
      </c>
      <c r="P43" s="12">
        <f t="shared" si="1"/>
        <v>1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2:29" x14ac:dyDescent="0.2">
      <c r="B44" s="6"/>
      <c r="C44" s="13"/>
      <c r="D44" s="14"/>
      <c r="E44" s="15"/>
      <c r="F44" s="15"/>
      <c r="G44" s="12"/>
      <c r="M44" s="23" t="s">
        <v>465</v>
      </c>
      <c r="N44" s="19">
        <v>21</v>
      </c>
      <c r="O44" s="19">
        <v>13</v>
      </c>
      <c r="P44" s="12">
        <f t="shared" si="1"/>
        <v>0.61904761904761907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2:29" x14ac:dyDescent="0.2">
      <c r="B45" s="6"/>
      <c r="C45" s="13"/>
      <c r="D45" s="14"/>
      <c r="E45" s="15"/>
      <c r="F45" s="15"/>
      <c r="G45" s="12"/>
      <c r="M45" s="23" t="s">
        <v>466</v>
      </c>
      <c r="N45" s="19">
        <v>51</v>
      </c>
      <c r="O45" s="19">
        <v>82</v>
      </c>
      <c r="P45" s="12">
        <f t="shared" si="1"/>
        <v>0.62195121951219512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2:29" x14ac:dyDescent="0.2">
      <c r="B46" s="6"/>
      <c r="C46" s="13"/>
      <c r="D46" s="14"/>
      <c r="E46" s="15"/>
      <c r="F46" s="15"/>
      <c r="G46" s="12"/>
      <c r="M46" s="23" t="s">
        <v>467</v>
      </c>
      <c r="N46" s="19">
        <v>24</v>
      </c>
      <c r="O46" s="19">
        <v>20</v>
      </c>
      <c r="P46" s="12">
        <f t="shared" si="1"/>
        <v>0.83333333333333337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2:29" x14ac:dyDescent="0.2">
      <c r="B47" s="6"/>
      <c r="C47" s="13"/>
      <c r="D47" s="14"/>
      <c r="E47" s="15"/>
      <c r="F47" s="15"/>
      <c r="G47" s="12"/>
      <c r="M47" s="23" t="s">
        <v>468</v>
      </c>
      <c r="N47" s="19">
        <v>199</v>
      </c>
      <c r="O47" s="19">
        <v>201</v>
      </c>
      <c r="P47" s="12">
        <f t="shared" si="1"/>
        <v>0.99004975124378114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2:29" x14ac:dyDescent="0.2">
      <c r="B48" s="6"/>
      <c r="C48" s="13"/>
      <c r="D48" s="14"/>
      <c r="E48" s="15"/>
      <c r="F48" s="15"/>
      <c r="G48" s="12"/>
      <c r="M48" s="23" t="s">
        <v>469</v>
      </c>
      <c r="N48" s="19">
        <v>29</v>
      </c>
      <c r="O48" s="19">
        <v>29</v>
      </c>
      <c r="P48" s="12">
        <f t="shared" si="1"/>
        <v>1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2:29" x14ac:dyDescent="0.2">
      <c r="B49" s="6"/>
      <c r="C49" s="13"/>
      <c r="D49" s="14"/>
      <c r="E49" s="15"/>
      <c r="F49" s="15"/>
      <c r="G49" s="12"/>
      <c r="M49" s="23" t="s">
        <v>470</v>
      </c>
      <c r="N49" s="19">
        <v>43</v>
      </c>
      <c r="O49" s="19">
        <v>43</v>
      </c>
      <c r="P49" s="12">
        <f t="shared" si="1"/>
        <v>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2:29" x14ac:dyDescent="0.2">
      <c r="B50" s="6"/>
      <c r="C50" s="13"/>
      <c r="D50" s="14"/>
      <c r="E50" s="15"/>
      <c r="F50" s="15"/>
      <c r="G50" s="12"/>
      <c r="M50" s="23" t="s">
        <v>471</v>
      </c>
      <c r="N50" s="19">
        <v>50</v>
      </c>
      <c r="O50" s="19">
        <v>50</v>
      </c>
      <c r="P50" s="12">
        <f t="shared" si="1"/>
        <v>1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2:29" x14ac:dyDescent="0.2">
      <c r="B51" s="6"/>
      <c r="C51" s="13"/>
      <c r="D51" s="14"/>
      <c r="E51" s="15"/>
      <c r="F51" s="15"/>
      <c r="G51" s="12"/>
      <c r="M51" s="23"/>
      <c r="N51" s="19"/>
      <c r="O51" s="19"/>
      <c r="P51" s="12" t="e">
        <f t="shared" si="1"/>
        <v>#NUM!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2:29" x14ac:dyDescent="0.2">
      <c r="B52" s="6"/>
      <c r="C52" s="13"/>
      <c r="D52" s="14"/>
      <c r="E52" s="15"/>
      <c r="F52" s="15"/>
      <c r="G52" s="12"/>
      <c r="M52" s="23"/>
      <c r="N52" s="19"/>
      <c r="O52" s="19"/>
      <c r="P52" s="12" t="e">
        <f t="shared" si="1"/>
        <v>#NUM!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2:29" x14ac:dyDescent="0.2">
      <c r="B53" s="6"/>
      <c r="C53" s="13"/>
      <c r="D53" s="14"/>
      <c r="E53" s="15"/>
      <c r="F53" s="15"/>
      <c r="G53" s="12"/>
      <c r="M53" s="23"/>
      <c r="N53" s="19"/>
      <c r="O53" s="19"/>
      <c r="P53" s="12" t="e">
        <f t="shared" si="1"/>
        <v>#NUM!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2:29" x14ac:dyDescent="0.2">
      <c r="B54" s="6"/>
      <c r="C54" s="13"/>
      <c r="D54" s="14"/>
      <c r="E54" s="15"/>
      <c r="F54" s="15"/>
      <c r="G54" s="12"/>
      <c r="M54" s="23"/>
      <c r="N54" s="19"/>
      <c r="O54" s="19"/>
      <c r="P54" s="12" t="e">
        <f t="shared" si="1"/>
        <v>#NUM!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2:29" x14ac:dyDescent="0.2">
      <c r="B55" s="6"/>
      <c r="C55" s="13"/>
      <c r="D55" s="14"/>
      <c r="E55" s="15"/>
      <c r="F55" s="15"/>
      <c r="G55" s="12"/>
      <c r="M55" s="23"/>
      <c r="N55" s="19"/>
      <c r="O55" s="19"/>
      <c r="P55" s="12" t="e">
        <f t="shared" si="1"/>
        <v>#NUM!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2:29" x14ac:dyDescent="0.2">
      <c r="B56" s="6"/>
      <c r="C56" s="13"/>
      <c r="D56" s="14"/>
      <c r="E56" s="15"/>
      <c r="F56" s="15"/>
      <c r="G56" s="12"/>
      <c r="M56" s="23"/>
      <c r="N56" s="19"/>
      <c r="O56" s="19"/>
      <c r="P56" s="12" t="e">
        <f t="shared" si="1"/>
        <v>#NUM!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2:29" x14ac:dyDescent="0.2">
      <c r="B57" s="6"/>
      <c r="C57" s="13"/>
      <c r="D57" s="14"/>
      <c r="E57" s="15"/>
      <c r="F57" s="15"/>
      <c r="G57" s="12"/>
      <c r="M57" s="23"/>
      <c r="N57" s="19"/>
      <c r="O57" s="19"/>
      <c r="P57" s="12" t="e">
        <f t="shared" si="1"/>
        <v>#NUM!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2:29" x14ac:dyDescent="0.2">
      <c r="B58" s="6"/>
      <c r="C58" s="13"/>
      <c r="D58" s="14"/>
      <c r="E58" s="15"/>
      <c r="F58" s="15"/>
      <c r="G58" s="12"/>
      <c r="M58" s="23"/>
      <c r="N58" s="19"/>
      <c r="O58" s="19"/>
      <c r="P58" s="12" t="e">
        <f t="shared" si="1"/>
        <v>#NUM!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2:29" x14ac:dyDescent="0.2">
      <c r="B59" s="6"/>
      <c r="C59" s="13"/>
      <c r="D59" s="14"/>
      <c r="E59" s="15"/>
      <c r="F59" s="15"/>
      <c r="G59" s="12"/>
      <c r="M59" s="23"/>
      <c r="N59" s="19"/>
      <c r="O59" s="19"/>
      <c r="P59" s="12" t="e">
        <f t="shared" si="1"/>
        <v>#NUM!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2:29" x14ac:dyDescent="0.2">
      <c r="B60" s="6"/>
      <c r="C60" s="13"/>
      <c r="D60" s="14"/>
      <c r="E60" s="15"/>
      <c r="F60" s="15"/>
      <c r="G60" s="12"/>
      <c r="M60" s="23"/>
      <c r="N60" s="19"/>
      <c r="O60" s="19"/>
      <c r="P60" s="12" t="e">
        <f t="shared" si="1"/>
        <v>#NUM!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2:29" x14ac:dyDescent="0.2">
      <c r="B61" s="6"/>
      <c r="C61" s="13"/>
      <c r="D61" s="14"/>
      <c r="E61" s="15"/>
      <c r="F61" s="15"/>
      <c r="G61" s="12"/>
      <c r="M61" s="23"/>
      <c r="N61" s="19"/>
      <c r="O61" s="19"/>
      <c r="P61" s="12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2:29" x14ac:dyDescent="0.2">
      <c r="B62" s="6"/>
      <c r="C62" s="13"/>
      <c r="D62" s="14"/>
      <c r="E62" s="15"/>
      <c r="F62" s="15"/>
      <c r="G62" s="12"/>
      <c r="M62" s="23"/>
      <c r="N62" s="19"/>
      <c r="O62" s="19"/>
      <c r="P62" s="12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2:29" x14ac:dyDescent="0.2">
      <c r="B63" s="6"/>
      <c r="C63" s="13"/>
      <c r="D63" s="14"/>
      <c r="E63" s="15"/>
      <c r="F63" s="15"/>
      <c r="G63" s="12"/>
      <c r="M63" s="23"/>
      <c r="N63" s="19"/>
      <c r="O63" s="19"/>
      <c r="P63" s="12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2:29" x14ac:dyDescent="0.2">
      <c r="B64" s="6"/>
      <c r="C64" s="13"/>
      <c r="D64" s="14"/>
      <c r="E64" s="15"/>
      <c r="F64" s="15"/>
      <c r="G64" s="12"/>
      <c r="M64" s="23"/>
      <c r="N64" s="19"/>
      <c r="O64" s="19"/>
      <c r="P64" s="12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2:29" x14ac:dyDescent="0.2">
      <c r="B65" s="6"/>
      <c r="C65" s="13"/>
      <c r="D65" s="14"/>
      <c r="E65" s="15"/>
      <c r="F65" s="15"/>
      <c r="G65" s="12"/>
      <c r="M65" s="23"/>
      <c r="N65" s="19"/>
      <c r="O65" s="19"/>
      <c r="P65" s="12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2:29" x14ac:dyDescent="0.2">
      <c r="B66" s="6"/>
      <c r="C66" s="13"/>
      <c r="D66" s="14"/>
      <c r="E66" s="15"/>
      <c r="F66" s="15"/>
      <c r="G66" s="12"/>
      <c r="M66" s="23"/>
      <c r="N66" s="19"/>
      <c r="O66" s="19"/>
      <c r="P66" s="12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2:29" x14ac:dyDescent="0.2">
      <c r="B67" s="6"/>
      <c r="C67" s="13"/>
      <c r="D67" s="14"/>
      <c r="E67" s="15"/>
      <c r="F67" s="15"/>
      <c r="G67" s="12"/>
      <c r="M67" s="23"/>
      <c r="N67" s="19"/>
      <c r="O67" s="19"/>
      <c r="P67" s="12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2:29" x14ac:dyDescent="0.2">
      <c r="B68" s="6"/>
      <c r="C68" s="13"/>
      <c r="D68" s="14"/>
      <c r="E68" s="15"/>
      <c r="F68" s="15"/>
      <c r="G68" s="12"/>
      <c r="M68" s="23"/>
      <c r="N68" s="19"/>
      <c r="O68" s="19"/>
      <c r="P68" s="12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2:29" x14ac:dyDescent="0.2">
      <c r="B69" s="6"/>
      <c r="C69" s="13"/>
      <c r="D69" s="14"/>
      <c r="E69" s="15"/>
      <c r="F69" s="15"/>
      <c r="G69" s="12"/>
      <c r="M69" s="23"/>
      <c r="N69" s="19"/>
      <c r="O69" s="19"/>
      <c r="P69" s="12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2:29" x14ac:dyDescent="0.2">
      <c r="B70" s="6"/>
      <c r="C70" s="13"/>
      <c r="D70" s="14"/>
      <c r="E70" s="15"/>
      <c r="F70" s="15"/>
      <c r="G70" s="12"/>
      <c r="M70" s="23"/>
      <c r="N70" s="19"/>
      <c r="O70" s="19"/>
      <c r="P70" s="12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2:29" x14ac:dyDescent="0.2">
      <c r="B71" s="6"/>
      <c r="C71" s="13"/>
      <c r="D71" s="14"/>
      <c r="E71" s="15"/>
      <c r="F71" s="15"/>
      <c r="G71" s="12"/>
      <c r="M71" s="23"/>
      <c r="N71" s="19"/>
      <c r="O71" s="19"/>
      <c r="P71" s="12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2:29" x14ac:dyDescent="0.2">
      <c r="B72" s="6"/>
      <c r="C72" s="13"/>
      <c r="D72" s="14"/>
      <c r="E72" s="15"/>
      <c r="F72" s="15"/>
      <c r="G72" s="12"/>
      <c r="M72" s="23"/>
      <c r="N72" s="19"/>
      <c r="O72" s="19"/>
      <c r="P72" s="12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2:29" x14ac:dyDescent="0.2">
      <c r="B73" s="6"/>
      <c r="C73" s="13"/>
      <c r="D73" s="14"/>
      <c r="E73" s="15"/>
      <c r="F73" s="15"/>
      <c r="G73" s="12"/>
      <c r="M73" s="23"/>
      <c r="N73" s="19"/>
      <c r="O73" s="19"/>
      <c r="P73" s="12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2:29" x14ac:dyDescent="0.2">
      <c r="B74" s="6"/>
      <c r="C74" s="13"/>
      <c r="D74" s="14"/>
      <c r="E74" s="15"/>
      <c r="F74" s="15"/>
      <c r="G74" s="12"/>
      <c r="M74" s="23"/>
      <c r="N74" s="19"/>
      <c r="O74" s="19"/>
      <c r="P74" s="12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2:29" x14ac:dyDescent="0.2">
      <c r="B75" s="6"/>
      <c r="C75" s="13"/>
      <c r="D75" s="14"/>
      <c r="E75" s="15"/>
      <c r="F75" s="15"/>
      <c r="G75" s="12"/>
      <c r="M75" s="23"/>
      <c r="N75" s="19"/>
      <c r="O75" s="19"/>
      <c r="P75" s="12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2:29" x14ac:dyDescent="0.2">
      <c r="B76" s="6"/>
      <c r="C76" s="13"/>
      <c r="D76" s="14"/>
      <c r="E76" s="15"/>
      <c r="F76" s="15"/>
      <c r="G76" s="12"/>
      <c r="M76" s="23"/>
      <c r="N76" s="19"/>
      <c r="O76" s="19"/>
      <c r="P76" s="12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2:29" x14ac:dyDescent="0.2">
      <c r="B77" s="6"/>
      <c r="C77" s="13"/>
      <c r="D77" s="14"/>
      <c r="E77" s="15"/>
      <c r="F77" s="15"/>
      <c r="G77" s="12"/>
      <c r="M77" s="23"/>
      <c r="N77" s="19"/>
      <c r="O77" s="19"/>
      <c r="P77" s="12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2:29" x14ac:dyDescent="0.2">
      <c r="B78" s="6"/>
      <c r="C78" s="13"/>
      <c r="D78" s="14"/>
      <c r="E78" s="15"/>
      <c r="F78" s="15"/>
      <c r="G78" s="12"/>
      <c r="M78" s="23"/>
      <c r="N78" s="19"/>
      <c r="O78" s="19"/>
      <c r="P78" s="12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2:29" x14ac:dyDescent="0.2">
      <c r="B79" s="6"/>
      <c r="C79" s="13"/>
      <c r="D79" s="14"/>
      <c r="E79" s="15"/>
      <c r="F79" s="15"/>
      <c r="G79" s="12"/>
      <c r="M79" s="23"/>
      <c r="N79" s="19"/>
      <c r="O79" s="19"/>
      <c r="P79" s="12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2:29" x14ac:dyDescent="0.2">
      <c r="B80" s="6"/>
      <c r="C80" s="13"/>
      <c r="D80" s="14"/>
      <c r="E80" s="15"/>
      <c r="F80" s="15"/>
      <c r="G80" s="12"/>
      <c r="M80" s="23"/>
      <c r="N80" s="19"/>
      <c r="O80" s="19"/>
      <c r="P80" s="12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2:29" x14ac:dyDescent="0.2">
      <c r="B81" s="6"/>
      <c r="C81" s="13"/>
      <c r="D81" s="14"/>
      <c r="E81" s="15"/>
      <c r="F81" s="15"/>
      <c r="G81" s="12"/>
      <c r="M81" s="23"/>
      <c r="N81" s="19"/>
      <c r="O81" s="19"/>
      <c r="P81" s="12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2:29" x14ac:dyDescent="0.2">
      <c r="B82" s="6"/>
      <c r="C82" s="13"/>
      <c r="D82" s="14"/>
      <c r="E82" s="15"/>
      <c r="F82" s="15"/>
      <c r="G82" s="12"/>
      <c r="M82" s="23"/>
      <c r="N82" s="19"/>
      <c r="O82" s="19"/>
      <c r="P82" s="12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2:29" x14ac:dyDescent="0.2">
      <c r="B83" s="6"/>
      <c r="C83" s="13"/>
      <c r="D83" s="14"/>
      <c r="E83" s="15"/>
      <c r="F83" s="15"/>
      <c r="G83" s="12"/>
      <c r="M83" s="23"/>
      <c r="N83" s="19"/>
      <c r="O83" s="19"/>
      <c r="P83" s="12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2:29" x14ac:dyDescent="0.2">
      <c r="B84" s="6"/>
      <c r="C84" s="13"/>
      <c r="D84" s="14"/>
      <c r="E84" s="15"/>
      <c r="F84" s="15"/>
      <c r="G84" s="12"/>
      <c r="M84" s="23"/>
      <c r="N84" s="19"/>
      <c r="O84" s="19"/>
      <c r="P84" s="12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2:29" x14ac:dyDescent="0.2">
      <c r="B85" s="6"/>
      <c r="C85" s="13"/>
      <c r="D85" s="14"/>
      <c r="E85" s="15"/>
      <c r="F85" s="15"/>
      <c r="G85" s="12"/>
      <c r="M85" s="23"/>
      <c r="N85" s="19"/>
      <c r="O85" s="19"/>
      <c r="P85" s="12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2:29" x14ac:dyDescent="0.2">
      <c r="B86" s="6"/>
      <c r="C86" s="13"/>
      <c r="D86" s="14"/>
      <c r="E86" s="15"/>
      <c r="F86" s="15"/>
      <c r="G86" s="12"/>
      <c r="M86" s="23"/>
      <c r="N86" s="19"/>
      <c r="O86" s="19"/>
      <c r="P86" s="12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2:29" x14ac:dyDescent="0.2">
      <c r="B87" s="6"/>
      <c r="C87" s="13"/>
      <c r="D87" s="14"/>
      <c r="E87" s="15"/>
      <c r="F87" s="15"/>
      <c r="G87" s="12"/>
      <c r="M87" s="23"/>
      <c r="N87" s="19"/>
      <c r="O87" s="19"/>
      <c r="P87" s="12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2:29" x14ac:dyDescent="0.2">
      <c r="B88" s="6"/>
      <c r="C88" s="13"/>
      <c r="D88" s="14"/>
      <c r="E88" s="15"/>
      <c r="F88" s="15"/>
      <c r="G88" s="12"/>
      <c r="M88" s="23"/>
      <c r="N88" s="19"/>
      <c r="O88" s="19"/>
      <c r="P88" s="12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2:29" x14ac:dyDescent="0.2">
      <c r="B89" s="6"/>
      <c r="C89" s="13" t="s">
        <v>10</v>
      </c>
      <c r="D89" s="14" t="s">
        <v>107</v>
      </c>
      <c r="E89" s="15"/>
      <c r="F89" s="15"/>
      <c r="G89" s="12" t="e">
        <f t="shared" si="0"/>
        <v>#NUM!</v>
      </c>
      <c r="M89" s="27"/>
      <c r="N89" s="19"/>
      <c r="O89" s="19"/>
      <c r="P89" s="12" t="e">
        <f t="shared" si="1"/>
        <v>#NUM!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2:29" x14ac:dyDescent="0.2">
      <c r="B90" s="6"/>
      <c r="C90" s="16" t="s">
        <v>1</v>
      </c>
      <c r="D90" s="18" t="s">
        <v>47</v>
      </c>
      <c r="E90" s="15"/>
      <c r="F90" s="15"/>
      <c r="G90" s="12" t="e">
        <f t="shared" si="0"/>
        <v>#NUM!</v>
      </c>
      <c r="L90" s="2"/>
      <c r="M90" s="2"/>
      <c r="N90" s="2"/>
      <c r="O90" s="2"/>
      <c r="P90" s="2"/>
      <c r="X90" s="1"/>
      <c r="Y90" s="1"/>
      <c r="Z90" s="1"/>
      <c r="AA90" s="1"/>
      <c r="AB90" s="1"/>
      <c r="AC90" s="1"/>
    </row>
    <row r="91" spans="2:29" x14ac:dyDescent="0.2">
      <c r="B91" s="6"/>
      <c r="C91" s="16" t="s">
        <v>287</v>
      </c>
      <c r="D91" s="18" t="s">
        <v>114</v>
      </c>
      <c r="E91" s="11"/>
      <c r="F91" s="11"/>
      <c r="G91" s="12" t="e">
        <f t="shared" si="0"/>
        <v>#NUM!</v>
      </c>
      <c r="L91" s="2"/>
      <c r="M91" s="2"/>
      <c r="N91" s="2"/>
      <c r="O91" s="2"/>
      <c r="P91" s="2"/>
      <c r="X91" s="1"/>
      <c r="Y91" s="1"/>
      <c r="Z91" s="1"/>
      <c r="AA91" s="1"/>
      <c r="AB91" s="1"/>
      <c r="AC91" s="1"/>
    </row>
    <row r="92" spans="2:29" x14ac:dyDescent="0.2">
      <c r="B92" s="6"/>
      <c r="C92" s="16" t="s">
        <v>20</v>
      </c>
      <c r="D92" s="18" t="s">
        <v>34</v>
      </c>
      <c r="E92" s="15"/>
      <c r="F92" s="15"/>
      <c r="G92" s="12" t="e">
        <f t="shared" si="0"/>
        <v>#NUM!</v>
      </c>
      <c r="L92" s="2"/>
      <c r="M92" s="2"/>
      <c r="N92" s="2"/>
      <c r="O92" s="2"/>
      <c r="P92" s="2"/>
      <c r="X92" s="1"/>
      <c r="Y92" s="1"/>
      <c r="Z92" s="1"/>
      <c r="AA92" s="1"/>
      <c r="AB92" s="1"/>
      <c r="AC92" s="1"/>
    </row>
    <row r="93" spans="2:29" x14ac:dyDescent="0.2">
      <c r="B93" s="6"/>
      <c r="C93" s="16" t="s">
        <v>76</v>
      </c>
      <c r="D93" s="18" t="s">
        <v>202</v>
      </c>
      <c r="E93" s="15"/>
      <c r="F93" s="15"/>
      <c r="G93" s="12" t="e">
        <f t="shared" si="0"/>
        <v>#NUM!</v>
      </c>
      <c r="L93" s="2"/>
      <c r="M93" s="2"/>
      <c r="N93" s="2"/>
      <c r="O93" s="2"/>
      <c r="P93" s="2"/>
      <c r="X93" s="1"/>
      <c r="Y93" s="1"/>
      <c r="Z93" s="1"/>
      <c r="AA93" s="1"/>
      <c r="AB93" s="1"/>
      <c r="AC93" s="1"/>
    </row>
    <row r="94" spans="2:29" x14ac:dyDescent="0.2">
      <c r="B94" s="6"/>
      <c r="C94" s="16" t="s">
        <v>12</v>
      </c>
      <c r="D94" s="18" t="s">
        <v>7</v>
      </c>
      <c r="E94" s="15"/>
      <c r="F94" s="15"/>
      <c r="G94" s="12" t="e">
        <f t="shared" si="0"/>
        <v>#NUM!</v>
      </c>
      <c r="L94" s="2"/>
      <c r="M94" s="2"/>
      <c r="N94" s="2"/>
      <c r="O94" s="2"/>
      <c r="P94" s="2"/>
      <c r="X94" s="1"/>
      <c r="Y94" s="1"/>
      <c r="Z94" s="1"/>
      <c r="AA94" s="1"/>
      <c r="AB94" s="1"/>
      <c r="AC94" s="1"/>
    </row>
    <row r="95" spans="2:29" x14ac:dyDescent="0.2">
      <c r="B95" s="6"/>
      <c r="C95" s="20" t="s">
        <v>288</v>
      </c>
      <c r="D95" s="18" t="s">
        <v>289</v>
      </c>
      <c r="E95" s="15"/>
      <c r="F95" s="15"/>
      <c r="G95" s="12" t="e">
        <f t="shared" si="0"/>
        <v>#NUM!</v>
      </c>
      <c r="L95" s="2"/>
      <c r="M95" s="2"/>
      <c r="N95" s="2"/>
      <c r="O95" s="2"/>
      <c r="P95" s="2"/>
      <c r="X95" s="1"/>
      <c r="Y95" s="1"/>
      <c r="Z95" s="1"/>
      <c r="AA95" s="1"/>
      <c r="AB95" s="1"/>
      <c r="AC95" s="1"/>
    </row>
    <row r="96" spans="2:29" x14ac:dyDescent="0.2">
      <c r="B96" s="6"/>
      <c r="C96" s="21" t="s">
        <v>290</v>
      </c>
      <c r="D96" s="18" t="s">
        <v>291</v>
      </c>
      <c r="E96" s="15"/>
      <c r="F96" s="15"/>
      <c r="G96" s="12" t="e">
        <f t="shared" si="0"/>
        <v>#NUM!</v>
      </c>
      <c r="L96" s="2"/>
      <c r="M96" s="2"/>
      <c r="N96" s="2"/>
      <c r="O96" s="2"/>
      <c r="P96" s="2"/>
      <c r="X96" s="1"/>
      <c r="Y96" s="1"/>
      <c r="Z96" s="1"/>
      <c r="AA96" s="1"/>
      <c r="AB96" s="1"/>
      <c r="AC96" s="1"/>
    </row>
    <row r="97" spans="2:29" x14ac:dyDescent="0.2">
      <c r="B97" s="6"/>
      <c r="C97" s="13" t="s">
        <v>4</v>
      </c>
      <c r="D97" s="14" t="s">
        <v>105</v>
      </c>
      <c r="E97" s="15"/>
      <c r="F97" s="15"/>
      <c r="G97" s="12" t="e">
        <f t="shared" si="0"/>
        <v>#NUM!</v>
      </c>
      <c r="L97" s="2"/>
      <c r="M97" s="2"/>
      <c r="N97" s="2"/>
      <c r="O97" s="2"/>
      <c r="P97" s="2"/>
      <c r="X97" s="1"/>
      <c r="Y97" s="1"/>
      <c r="Z97" s="1"/>
      <c r="AA97" s="1"/>
      <c r="AB97" s="1"/>
      <c r="AC97" s="1"/>
    </row>
    <row r="98" spans="2:29" x14ac:dyDescent="0.2">
      <c r="B98" s="6"/>
      <c r="C98" s="16" t="s">
        <v>85</v>
      </c>
      <c r="D98" s="14" t="s">
        <v>119</v>
      </c>
      <c r="E98" s="15"/>
      <c r="F98" s="15"/>
      <c r="G98" s="12" t="e">
        <f t="shared" si="0"/>
        <v>#NUM!</v>
      </c>
      <c r="L98" s="2"/>
      <c r="M98" s="2"/>
      <c r="N98" s="2"/>
      <c r="O98" s="2"/>
      <c r="P98" s="2"/>
      <c r="X98" s="1"/>
      <c r="Y98" s="1"/>
      <c r="Z98" s="1"/>
      <c r="AA98" s="1"/>
      <c r="AB98" s="1"/>
      <c r="AC98" s="1"/>
    </row>
    <row r="99" spans="2:29" x14ac:dyDescent="0.2">
      <c r="B99" s="6"/>
      <c r="C99" s="16" t="s">
        <v>84</v>
      </c>
      <c r="D99" s="14" t="s">
        <v>118</v>
      </c>
      <c r="E99" s="15"/>
      <c r="F99" s="15"/>
      <c r="G99" s="12" t="e">
        <f t="shared" si="0"/>
        <v>#NUM!</v>
      </c>
      <c r="L99" s="2"/>
      <c r="M99" s="2"/>
      <c r="N99" s="2"/>
      <c r="O99" s="2"/>
      <c r="P99" s="2"/>
      <c r="X99" s="1"/>
      <c r="Y99" s="1"/>
      <c r="Z99" s="1"/>
      <c r="AA99" s="1"/>
      <c r="AB99" s="1"/>
      <c r="AC99" s="1"/>
    </row>
    <row r="100" spans="2:29" x14ac:dyDescent="0.2">
      <c r="B100" s="6"/>
      <c r="C100" s="13" t="s">
        <v>29</v>
      </c>
      <c r="D100" s="14" t="s">
        <v>111</v>
      </c>
      <c r="E100" s="15"/>
      <c r="F100" s="15"/>
      <c r="G100" s="12" t="e">
        <f t="shared" si="0"/>
        <v>#NUM!</v>
      </c>
      <c r="L100" s="2"/>
      <c r="M100" s="2"/>
      <c r="N100" s="2"/>
      <c r="O100" s="2"/>
      <c r="P100" s="2"/>
      <c r="X100" s="1"/>
      <c r="Y100" s="1"/>
      <c r="Z100" s="1"/>
      <c r="AA100" s="1"/>
      <c r="AB100" s="1"/>
      <c r="AC100" s="1"/>
    </row>
    <row r="101" spans="2:29" x14ac:dyDescent="0.2">
      <c r="B101" s="6"/>
      <c r="C101" s="16" t="s">
        <v>17</v>
      </c>
      <c r="D101" s="14" t="s">
        <v>31</v>
      </c>
      <c r="E101" s="15"/>
      <c r="F101" s="15"/>
      <c r="G101" s="12" t="e">
        <f t="shared" si="0"/>
        <v>#NUM!</v>
      </c>
      <c r="L101" s="2"/>
      <c r="M101" s="2"/>
      <c r="N101" s="2"/>
      <c r="O101" s="2"/>
      <c r="P101" s="2"/>
      <c r="X101" s="1"/>
      <c r="Y101" s="1"/>
      <c r="Z101" s="1"/>
      <c r="AA101" s="1"/>
      <c r="AB101" s="1"/>
      <c r="AC101" s="1"/>
    </row>
    <row r="102" spans="2:29" x14ac:dyDescent="0.2">
      <c r="B102" s="6"/>
      <c r="C102" s="21" t="s">
        <v>292</v>
      </c>
      <c r="D102" s="18" t="s">
        <v>293</v>
      </c>
      <c r="E102" s="11"/>
      <c r="F102" s="15"/>
      <c r="G102" s="12" t="e">
        <f t="shared" si="0"/>
        <v>#NUM!</v>
      </c>
      <c r="L102" s="2"/>
      <c r="M102" s="2"/>
      <c r="N102" s="2"/>
      <c r="O102" s="2"/>
      <c r="P102" s="2"/>
      <c r="X102" s="1"/>
      <c r="Y102" s="1"/>
      <c r="Z102" s="1"/>
      <c r="AA102" s="1"/>
      <c r="AB102" s="1"/>
      <c r="AC102" s="1"/>
    </row>
    <row r="103" spans="2:29" x14ac:dyDescent="0.2">
      <c r="B103" s="6"/>
      <c r="C103" s="13" t="s">
        <v>294</v>
      </c>
      <c r="D103" s="14" t="s">
        <v>91</v>
      </c>
      <c r="E103" s="11"/>
      <c r="F103" s="11"/>
      <c r="G103" s="12" t="e">
        <f t="shared" si="0"/>
        <v>#NUM!</v>
      </c>
      <c r="L103" s="2"/>
      <c r="M103" s="2"/>
      <c r="N103" s="2"/>
      <c r="O103" s="2"/>
      <c r="P103" s="2"/>
      <c r="X103" s="1"/>
      <c r="Y103" s="1"/>
      <c r="Z103" s="1"/>
      <c r="AA103" s="1"/>
      <c r="AB103" s="1"/>
      <c r="AC103" s="1"/>
    </row>
    <row r="104" spans="2:29" x14ac:dyDescent="0.2">
      <c r="B104" s="6"/>
      <c r="C104" s="13" t="s">
        <v>45</v>
      </c>
      <c r="D104" s="14" t="s">
        <v>109</v>
      </c>
      <c r="E104" s="15"/>
      <c r="F104" s="15"/>
      <c r="G104" s="12" t="e">
        <f t="shared" si="0"/>
        <v>#NUM!</v>
      </c>
      <c r="L104" s="2"/>
      <c r="M104" s="2"/>
      <c r="N104" s="2"/>
      <c r="O104" s="2"/>
      <c r="P104" s="2"/>
      <c r="X104" s="1"/>
      <c r="Y104" s="1"/>
      <c r="Z104" s="1"/>
      <c r="AA104" s="1"/>
      <c r="AB104" s="1"/>
      <c r="AC104" s="1"/>
    </row>
    <row r="105" spans="2:29" x14ac:dyDescent="0.2">
      <c r="B105" s="6"/>
      <c r="C105" s="13" t="s">
        <v>60</v>
      </c>
      <c r="D105" s="18" t="s">
        <v>59</v>
      </c>
      <c r="E105" s="15"/>
      <c r="F105" s="15"/>
      <c r="G105" s="12" t="e">
        <f t="shared" si="0"/>
        <v>#NUM!</v>
      </c>
      <c r="L105" s="2"/>
      <c r="M105" s="2"/>
      <c r="N105" s="2"/>
      <c r="O105" s="2"/>
      <c r="P105" s="2"/>
      <c r="X105" s="1"/>
      <c r="Y105" s="1"/>
      <c r="Z105" s="1"/>
      <c r="AA105" s="1"/>
      <c r="AB105" s="1"/>
      <c r="AC105" s="1"/>
    </row>
    <row r="106" spans="2:29" x14ac:dyDescent="0.2">
      <c r="B106" s="6"/>
      <c r="C106" s="13" t="s">
        <v>64</v>
      </c>
      <c r="D106" s="14" t="s">
        <v>63</v>
      </c>
      <c r="E106" s="15"/>
      <c r="F106" s="15"/>
      <c r="G106" s="12" t="e">
        <f t="shared" si="0"/>
        <v>#NUM!</v>
      </c>
      <c r="L106" s="2"/>
      <c r="M106" s="2"/>
      <c r="N106" s="2"/>
      <c r="O106" s="2"/>
      <c r="P106" s="2"/>
      <c r="X106" s="1"/>
      <c r="Y106" s="1"/>
      <c r="Z106" s="1"/>
      <c r="AA106" s="1"/>
      <c r="AB106" s="1"/>
      <c r="AC106" s="1"/>
    </row>
    <row r="107" spans="2:29" x14ac:dyDescent="0.2">
      <c r="B107" s="6"/>
      <c r="C107" s="16" t="s">
        <v>100</v>
      </c>
      <c r="D107" s="18" t="s">
        <v>121</v>
      </c>
      <c r="E107" s="15"/>
      <c r="F107" s="15"/>
      <c r="G107" s="12" t="e">
        <f t="shared" si="0"/>
        <v>#NUM!</v>
      </c>
      <c r="L107" s="2"/>
      <c r="M107" s="2"/>
      <c r="N107" s="2"/>
      <c r="O107" s="2"/>
      <c r="P107" s="2"/>
      <c r="X107" s="1"/>
      <c r="Y107" s="1"/>
      <c r="Z107" s="1"/>
      <c r="AA107" s="1"/>
      <c r="AB107" s="1"/>
      <c r="AC107" s="1"/>
    </row>
    <row r="108" spans="2:29" x14ac:dyDescent="0.2">
      <c r="B108" s="6"/>
      <c r="C108" s="13" t="s">
        <v>3</v>
      </c>
      <c r="D108" s="14" t="s">
        <v>295</v>
      </c>
      <c r="E108" s="15"/>
      <c r="F108" s="15"/>
      <c r="G108" s="12" t="e">
        <f t="shared" si="0"/>
        <v>#NUM!</v>
      </c>
      <c r="L108" s="2"/>
      <c r="M108" s="2"/>
      <c r="N108" s="2"/>
      <c r="O108" s="2"/>
      <c r="P108" s="2"/>
      <c r="X108" s="1"/>
      <c r="Y108" s="1"/>
      <c r="Z108" s="1"/>
      <c r="AA108" s="1"/>
      <c r="AB108" s="1"/>
      <c r="AC108" s="1"/>
    </row>
    <row r="109" spans="2:29" x14ac:dyDescent="0.2">
      <c r="B109" s="6"/>
      <c r="C109" s="16" t="s">
        <v>14</v>
      </c>
      <c r="D109" s="18" t="s">
        <v>33</v>
      </c>
      <c r="E109" s="15"/>
      <c r="F109" s="15"/>
      <c r="G109" s="12" t="e">
        <f t="shared" si="0"/>
        <v>#NUM!</v>
      </c>
      <c r="L109" s="2"/>
      <c r="M109" s="2"/>
      <c r="N109" s="2"/>
      <c r="O109" s="2"/>
      <c r="P109" s="2"/>
      <c r="X109" s="1"/>
      <c r="Y109" s="1"/>
      <c r="Z109" s="1"/>
      <c r="AA109" s="1"/>
      <c r="AB109" s="1"/>
      <c r="AC109" s="1"/>
    </row>
    <row r="110" spans="2:29" x14ac:dyDescent="0.2">
      <c r="B110" s="6"/>
      <c r="C110" s="21" t="s">
        <v>296</v>
      </c>
      <c r="D110" s="18" t="s">
        <v>297</v>
      </c>
      <c r="E110" s="11"/>
      <c r="F110" s="15"/>
      <c r="G110" s="12" t="e">
        <f t="shared" si="0"/>
        <v>#NUM!</v>
      </c>
      <c r="L110" s="2"/>
      <c r="M110" s="2"/>
      <c r="N110" s="2"/>
      <c r="O110" s="2"/>
      <c r="P110" s="2"/>
      <c r="X110" s="1"/>
      <c r="Y110" s="1"/>
      <c r="Z110" s="1"/>
      <c r="AA110" s="1"/>
      <c r="AB110" s="1"/>
      <c r="AC110" s="1"/>
    </row>
    <row r="111" spans="2:29" x14ac:dyDescent="0.2">
      <c r="B111" s="6"/>
      <c r="C111" s="20" t="s">
        <v>165</v>
      </c>
      <c r="D111" s="10" t="s">
        <v>164</v>
      </c>
      <c r="E111" s="11"/>
      <c r="F111" s="11"/>
      <c r="G111" s="12" t="e">
        <f t="shared" si="0"/>
        <v>#NUM!</v>
      </c>
      <c r="L111" s="2"/>
      <c r="M111" s="2"/>
      <c r="N111" s="2"/>
      <c r="O111" s="2"/>
      <c r="P111" s="2"/>
      <c r="X111" s="1"/>
      <c r="Y111" s="1"/>
      <c r="Z111" s="1"/>
      <c r="AA111" s="1"/>
      <c r="AB111" s="1"/>
      <c r="AC111" s="1"/>
    </row>
    <row r="112" spans="2:29" x14ac:dyDescent="0.2">
      <c r="B112" s="6"/>
      <c r="C112" s="13" t="s">
        <v>298</v>
      </c>
      <c r="D112" s="14" t="s">
        <v>88</v>
      </c>
      <c r="E112" s="15"/>
      <c r="F112" s="15"/>
      <c r="G112" s="12" t="e">
        <f t="shared" si="0"/>
        <v>#NUM!</v>
      </c>
      <c r="L112" s="2"/>
      <c r="M112" s="2"/>
      <c r="N112" s="2"/>
      <c r="O112" s="2"/>
      <c r="P112" s="2"/>
      <c r="X112" s="1"/>
      <c r="Y112" s="1"/>
      <c r="Z112" s="1"/>
      <c r="AA112" s="1"/>
      <c r="AB112" s="1"/>
      <c r="AC112" s="1"/>
    </row>
    <row r="113" spans="2:29" x14ac:dyDescent="0.2">
      <c r="B113" s="6"/>
      <c r="C113" s="13" t="s">
        <v>299</v>
      </c>
      <c r="D113" s="14" t="s">
        <v>115</v>
      </c>
      <c r="E113" s="15"/>
      <c r="F113" s="15"/>
      <c r="G113" s="12" t="e">
        <f t="shared" si="0"/>
        <v>#NUM!</v>
      </c>
      <c r="L113" s="2"/>
      <c r="M113" s="2"/>
      <c r="N113" s="2"/>
      <c r="O113" s="2"/>
      <c r="P113" s="2"/>
      <c r="X113" s="1"/>
      <c r="Y113" s="1"/>
      <c r="Z113" s="1"/>
      <c r="AA113" s="1"/>
      <c r="AB113" s="1"/>
      <c r="AC113" s="1"/>
    </row>
    <row r="114" spans="2:29" x14ac:dyDescent="0.2">
      <c r="B114" s="6"/>
      <c r="C114" s="13" t="s">
        <v>300</v>
      </c>
      <c r="D114" s="10" t="s">
        <v>199</v>
      </c>
      <c r="E114" s="11"/>
      <c r="F114" s="11"/>
      <c r="G114" s="12" t="e">
        <f t="shared" si="0"/>
        <v>#NUM!</v>
      </c>
      <c r="L114" s="2"/>
      <c r="M114" s="2"/>
      <c r="N114" s="2"/>
      <c r="O114" s="2"/>
      <c r="P114" s="2"/>
      <c r="X114" s="1"/>
      <c r="Y114" s="1"/>
      <c r="Z114" s="1"/>
      <c r="AA114" s="1"/>
      <c r="AB114" s="1"/>
      <c r="AC114" s="1"/>
    </row>
    <row r="115" spans="2:29" x14ac:dyDescent="0.2">
      <c r="B115" s="6"/>
      <c r="C115" s="16" t="s">
        <v>301</v>
      </c>
      <c r="D115" s="18" t="s">
        <v>41</v>
      </c>
      <c r="E115" s="11"/>
      <c r="F115" s="11"/>
      <c r="G115" s="12" t="e">
        <f t="shared" si="0"/>
        <v>#NUM!</v>
      </c>
      <c r="L115" s="2"/>
      <c r="M115" s="2"/>
      <c r="N115" s="2"/>
      <c r="O115" s="2"/>
      <c r="P115" s="2"/>
      <c r="X115" s="1"/>
      <c r="Y115" s="1"/>
      <c r="Z115" s="1"/>
      <c r="AA115" s="1"/>
      <c r="AB115" s="1"/>
      <c r="AC115" s="1"/>
    </row>
    <row r="116" spans="2:29" x14ac:dyDescent="0.2">
      <c r="B116" s="6"/>
      <c r="C116" s="20" t="s">
        <v>302</v>
      </c>
      <c r="D116" s="18" t="s">
        <v>303</v>
      </c>
      <c r="E116" s="11"/>
      <c r="F116" s="11"/>
      <c r="G116" s="12" t="e">
        <f t="shared" si="0"/>
        <v>#NUM!</v>
      </c>
      <c r="L116" s="2"/>
      <c r="M116" s="2"/>
      <c r="N116" s="2"/>
      <c r="O116" s="2"/>
      <c r="P116" s="2"/>
      <c r="X116" s="1"/>
      <c r="Y116" s="1"/>
      <c r="Z116" s="1"/>
      <c r="AA116" s="1"/>
      <c r="AB116" s="1"/>
      <c r="AC116" s="1"/>
    </row>
    <row r="117" spans="2:29" x14ac:dyDescent="0.2">
      <c r="B117" s="6"/>
      <c r="C117" s="20" t="s">
        <v>304</v>
      </c>
      <c r="D117" s="10" t="s">
        <v>200</v>
      </c>
      <c r="E117" s="15"/>
      <c r="F117" s="15"/>
      <c r="G117" s="12" t="e">
        <f t="shared" si="0"/>
        <v>#NUM!</v>
      </c>
      <c r="L117" s="2"/>
      <c r="M117" s="2"/>
      <c r="N117" s="2"/>
      <c r="O117" s="2"/>
      <c r="P117" s="2"/>
      <c r="X117" s="1"/>
      <c r="Y117" s="1"/>
      <c r="Z117" s="1"/>
      <c r="AA117" s="1"/>
      <c r="AB117" s="1"/>
      <c r="AC117" s="1"/>
    </row>
    <row r="118" spans="2:29" x14ac:dyDescent="0.2">
      <c r="B118" s="6"/>
      <c r="C118" s="13" t="s">
        <v>305</v>
      </c>
      <c r="D118" s="14" t="s">
        <v>81</v>
      </c>
      <c r="E118" s="15"/>
      <c r="F118" s="15"/>
      <c r="G118" s="12" t="e">
        <f t="shared" si="0"/>
        <v>#NUM!</v>
      </c>
      <c r="L118" s="2"/>
      <c r="M118" s="2"/>
      <c r="N118" s="2"/>
      <c r="O118" s="2"/>
      <c r="P118" s="2"/>
      <c r="X118" s="1"/>
      <c r="Y118" s="1"/>
      <c r="Z118" s="1"/>
      <c r="AA118" s="1"/>
      <c r="AB118" s="1"/>
      <c r="AC118" s="1"/>
    </row>
    <row r="119" spans="2:29" x14ac:dyDescent="0.2">
      <c r="B119" s="6"/>
      <c r="C119" s="22" t="s">
        <v>15</v>
      </c>
      <c r="D119" s="14" t="s">
        <v>104</v>
      </c>
      <c r="E119" s="15"/>
      <c r="F119" s="15"/>
      <c r="G119" s="12" t="e">
        <f t="shared" si="0"/>
        <v>#NUM!</v>
      </c>
      <c r="L119" s="2"/>
      <c r="M119" s="2"/>
      <c r="N119" s="2"/>
      <c r="O119" s="2"/>
      <c r="P119" s="2"/>
      <c r="X119" s="1"/>
      <c r="Y119" s="1"/>
      <c r="Z119" s="1"/>
      <c r="AA119" s="1"/>
      <c r="AB119" s="1"/>
      <c r="AC119" s="1"/>
    </row>
    <row r="120" spans="2:29" x14ac:dyDescent="0.2">
      <c r="B120" s="6"/>
      <c r="C120" s="13" t="s">
        <v>62</v>
      </c>
      <c r="D120" s="23" t="s">
        <v>61</v>
      </c>
      <c r="E120" s="15"/>
      <c r="F120" s="15"/>
      <c r="G120" s="12" t="e">
        <f t="shared" si="0"/>
        <v>#NUM!</v>
      </c>
      <c r="L120" s="2"/>
      <c r="M120" s="2"/>
      <c r="N120" s="2"/>
      <c r="O120" s="2"/>
      <c r="P120" s="2"/>
      <c r="X120" s="1"/>
      <c r="Y120" s="1"/>
      <c r="Z120" s="1"/>
      <c r="AA120" s="1"/>
      <c r="AB120" s="1"/>
      <c r="AC120" s="1"/>
    </row>
    <row r="121" spans="2:29" x14ac:dyDescent="0.2">
      <c r="B121" s="6"/>
      <c r="C121" s="24" t="s">
        <v>18</v>
      </c>
      <c r="D121" s="18" t="s">
        <v>42</v>
      </c>
      <c r="E121" s="15"/>
      <c r="F121" s="15"/>
      <c r="G121" s="12" t="e">
        <f t="shared" si="0"/>
        <v>#NUM!</v>
      </c>
      <c r="L121" s="2"/>
      <c r="M121" s="2"/>
      <c r="N121" s="2"/>
      <c r="O121" s="2"/>
      <c r="P121" s="2"/>
      <c r="X121" s="1"/>
      <c r="Y121" s="1"/>
      <c r="Z121" s="1"/>
      <c r="AA121" s="1"/>
      <c r="AB121" s="1"/>
      <c r="AC121" s="1"/>
    </row>
    <row r="122" spans="2:29" x14ac:dyDescent="0.2">
      <c r="B122" s="6"/>
      <c r="C122" s="25" t="s">
        <v>306</v>
      </c>
      <c r="D122" s="14" t="s">
        <v>90</v>
      </c>
      <c r="E122" s="15"/>
      <c r="F122" s="15"/>
      <c r="G122" s="12" t="e">
        <f t="shared" si="0"/>
        <v>#NUM!</v>
      </c>
      <c r="L122" s="2"/>
      <c r="M122" s="2"/>
      <c r="N122" s="2"/>
      <c r="O122" s="2"/>
      <c r="P122" s="2"/>
      <c r="X122" s="1"/>
      <c r="Y122" s="1"/>
      <c r="Z122" s="1"/>
      <c r="AA122" s="1"/>
      <c r="AB122" s="1"/>
      <c r="AC122" s="1"/>
    </row>
    <row r="123" spans="2:29" x14ac:dyDescent="0.2">
      <c r="B123" s="6"/>
      <c r="C123" s="25" t="s">
        <v>16</v>
      </c>
      <c r="D123" s="14" t="s">
        <v>110</v>
      </c>
      <c r="E123" s="15"/>
      <c r="F123" s="15"/>
      <c r="G123" s="12" t="e">
        <f t="shared" si="0"/>
        <v>#NUM!</v>
      </c>
      <c r="L123" s="2"/>
      <c r="M123" s="2"/>
      <c r="N123" s="2"/>
      <c r="O123" s="2"/>
      <c r="P123" s="2"/>
      <c r="X123" s="1"/>
      <c r="Y123" s="1"/>
      <c r="Z123" s="1"/>
      <c r="AA123" s="1"/>
      <c r="AB123" s="1"/>
      <c r="AC123" s="1"/>
    </row>
    <row r="124" spans="2:29" x14ac:dyDescent="0.2">
      <c r="B124" s="6"/>
      <c r="C124" s="13" t="s">
        <v>44</v>
      </c>
      <c r="D124" s="23" t="s">
        <v>96</v>
      </c>
      <c r="E124" s="15"/>
      <c r="F124" s="15"/>
      <c r="G124" s="12" t="e">
        <f t="shared" si="0"/>
        <v>#NUM!</v>
      </c>
      <c r="L124" s="2"/>
      <c r="M124" s="2"/>
      <c r="N124" s="2"/>
      <c r="O124" s="2"/>
      <c r="P124" s="2"/>
      <c r="X124" s="1"/>
      <c r="Y124" s="1"/>
      <c r="Z124" s="1"/>
      <c r="AA124" s="1"/>
      <c r="AB124" s="1"/>
      <c r="AC124" s="1"/>
    </row>
    <row r="125" spans="2:29" x14ac:dyDescent="0.2">
      <c r="B125" s="6"/>
      <c r="C125" s="13" t="s">
        <v>28</v>
      </c>
      <c r="D125" s="23" t="s">
        <v>112</v>
      </c>
      <c r="E125" s="15"/>
      <c r="F125" s="15"/>
      <c r="G125" s="12" t="e">
        <f t="shared" si="0"/>
        <v>#NUM!</v>
      </c>
      <c r="L125" s="2"/>
      <c r="M125" s="2"/>
      <c r="N125" s="2"/>
      <c r="O125" s="2"/>
      <c r="P125" s="2"/>
      <c r="X125" s="1"/>
      <c r="Y125" s="1"/>
      <c r="Z125" s="1"/>
      <c r="AA125" s="1"/>
      <c r="AB125" s="1"/>
      <c r="AC125" s="1"/>
    </row>
    <row r="126" spans="2:29" x14ac:dyDescent="0.2">
      <c r="B126" s="6"/>
      <c r="C126" s="16" t="s">
        <v>13</v>
      </c>
      <c r="D126" s="26" t="s">
        <v>48</v>
      </c>
      <c r="E126" s="15"/>
      <c r="F126" s="15"/>
      <c r="G126" s="12" t="e">
        <f t="shared" si="0"/>
        <v>#NUM!</v>
      </c>
      <c r="L126" s="2"/>
      <c r="M126" s="2"/>
      <c r="N126" s="2"/>
      <c r="O126" s="2"/>
      <c r="P126" s="2"/>
      <c r="X126" s="1"/>
      <c r="Y126" s="1"/>
      <c r="Z126" s="1"/>
      <c r="AA126" s="1"/>
      <c r="AB126" s="1"/>
      <c r="AC126" s="1"/>
    </row>
    <row r="127" spans="2:29" x14ac:dyDescent="0.2">
      <c r="B127" s="6"/>
      <c r="C127" s="16" t="s">
        <v>23</v>
      </c>
      <c r="D127" s="26" t="s">
        <v>26</v>
      </c>
      <c r="E127" s="15"/>
      <c r="F127" s="15"/>
      <c r="G127" s="12" t="e">
        <f t="shared" si="0"/>
        <v>#NUM!</v>
      </c>
      <c r="L127" s="2"/>
      <c r="M127" s="2"/>
      <c r="N127" s="2"/>
      <c r="O127" s="2"/>
      <c r="P127" s="2"/>
      <c r="X127" s="1"/>
      <c r="Y127" s="1"/>
      <c r="Z127" s="1"/>
      <c r="AA127" s="1"/>
      <c r="AB127" s="1"/>
      <c r="AC127" s="1"/>
    </row>
    <row r="128" spans="2:29" x14ac:dyDescent="0.2">
      <c r="B128" s="6"/>
      <c r="C128" s="20" t="s">
        <v>130</v>
      </c>
      <c r="D128" s="27" t="s">
        <v>129</v>
      </c>
      <c r="E128" s="15"/>
      <c r="F128" s="15"/>
      <c r="G128" s="12" t="e">
        <f t="shared" si="0"/>
        <v>#NUM!</v>
      </c>
      <c r="L128" s="2"/>
      <c r="M128" s="2"/>
      <c r="N128" s="2"/>
      <c r="O128" s="2"/>
      <c r="P128" s="2"/>
      <c r="X128" s="1"/>
      <c r="Y128" s="1"/>
      <c r="Z128" s="1"/>
      <c r="AA128" s="1"/>
      <c r="AB128" s="1"/>
      <c r="AC128" s="1"/>
    </row>
    <row r="129" spans="2:29" x14ac:dyDescent="0.2">
      <c r="B129" s="6"/>
      <c r="C129" s="16" t="s">
        <v>21</v>
      </c>
      <c r="D129" s="26" t="s">
        <v>25</v>
      </c>
      <c r="E129" s="15"/>
      <c r="F129" s="15"/>
      <c r="G129" s="12" t="e">
        <f t="shared" si="0"/>
        <v>#NUM!</v>
      </c>
      <c r="L129" s="2"/>
      <c r="M129" s="2"/>
      <c r="N129" s="2"/>
      <c r="O129" s="2"/>
      <c r="P129" s="2"/>
      <c r="X129" s="1"/>
      <c r="Y129" s="1"/>
      <c r="Z129" s="1"/>
      <c r="AA129" s="1"/>
      <c r="AB129" s="1"/>
      <c r="AC129" s="1"/>
    </row>
    <row r="130" spans="2:29" x14ac:dyDescent="0.2">
      <c r="B130" s="6"/>
      <c r="C130" s="13" t="s">
        <v>79</v>
      </c>
      <c r="D130" s="23" t="s">
        <v>78</v>
      </c>
      <c r="E130" s="15"/>
      <c r="F130" s="15"/>
      <c r="G130" s="12" t="e">
        <f>SMALL(E130:F130,1)/LARGE(E130:F130,1)</f>
        <v>#NUM!</v>
      </c>
      <c r="L130" s="2"/>
      <c r="M130" s="2"/>
      <c r="N130" s="2"/>
      <c r="O130" s="2"/>
      <c r="P130" s="2"/>
      <c r="X130" s="1"/>
      <c r="Y130" s="1"/>
      <c r="Z130" s="1"/>
      <c r="AA130" s="1"/>
      <c r="AB130" s="1"/>
      <c r="AC130" s="1"/>
    </row>
    <row r="131" spans="2:29" ht="16.5" customHeight="1" x14ac:dyDescent="0.2">
      <c r="B131" s="6"/>
      <c r="C131" s="20" t="s">
        <v>307</v>
      </c>
      <c r="D131" s="27" t="s">
        <v>133</v>
      </c>
      <c r="E131" s="11"/>
      <c r="F131" s="15"/>
      <c r="G131" s="12" t="e">
        <f>SMALL(E131:F131,1)/LARGE(E131:F131,1)</f>
        <v>#NUM!</v>
      </c>
      <c r="L131" s="2"/>
      <c r="M131" s="2"/>
      <c r="N131" s="2"/>
      <c r="O131" s="2"/>
      <c r="P131" s="2"/>
      <c r="X131" s="1"/>
      <c r="Y131" s="1"/>
      <c r="Z131" s="1"/>
      <c r="AA131" s="1"/>
      <c r="AB131" s="1"/>
      <c r="AC131" s="1"/>
    </row>
    <row r="132" spans="2:29" x14ac:dyDescent="0.2">
      <c r="B132" s="6"/>
      <c r="C132" s="20" t="s">
        <v>163</v>
      </c>
      <c r="D132" s="27" t="s">
        <v>162</v>
      </c>
      <c r="E132" s="15">
        <v>320</v>
      </c>
      <c r="F132" s="15">
        <v>320</v>
      </c>
      <c r="G132" s="12">
        <f>SMALL(E132:F132,1)/LARGE(E132:F132,1)</f>
        <v>1</v>
      </c>
      <c r="L132" s="2"/>
      <c r="M132" s="2"/>
      <c r="N132" s="2"/>
      <c r="O132" s="2"/>
      <c r="P132" s="2"/>
      <c r="X132" s="1"/>
      <c r="Y132" s="1"/>
      <c r="Z132" s="1"/>
      <c r="AA132" s="1"/>
      <c r="AB132" s="1"/>
      <c r="AC132" s="1"/>
    </row>
    <row r="133" spans="2:29" x14ac:dyDescent="0.2">
      <c r="B133" s="6"/>
      <c r="C133" s="16" t="s">
        <v>38</v>
      </c>
      <c r="D133" s="26" t="s">
        <v>37</v>
      </c>
      <c r="E133" s="15">
        <v>602</v>
      </c>
      <c r="F133" s="15">
        <v>602</v>
      </c>
      <c r="G133" s="12">
        <f>SMALL(E133:F133,1)/LARGE(E133:F133,1)</f>
        <v>1</v>
      </c>
      <c r="L133" s="2"/>
      <c r="M133" s="2"/>
      <c r="N133" s="2"/>
      <c r="O133" s="2"/>
      <c r="P133" s="2"/>
      <c r="X133" s="1"/>
      <c r="Y133" s="1"/>
      <c r="Z133" s="1"/>
      <c r="AA133" s="1"/>
      <c r="AB133" s="1"/>
      <c r="AC133" s="1"/>
    </row>
    <row r="134" spans="2:29" x14ac:dyDescent="0.2">
      <c r="C134" s="20" t="s">
        <v>308</v>
      </c>
      <c r="D134" s="27" t="s">
        <v>128</v>
      </c>
      <c r="E134" s="11">
        <v>3056</v>
      </c>
      <c r="F134" s="11">
        <v>3056</v>
      </c>
      <c r="G134" s="12">
        <f>SMALL(E134:F134,1)/LARGE(E134:F134,1)</f>
        <v>1</v>
      </c>
    </row>
  </sheetData>
  <mergeCells count="1">
    <mergeCell ref="L2:V2"/>
  </mergeCells>
  <printOptions horizontalCentered="1" verticalCentered="1"/>
  <pageMargins left="0.70866141732283461" right="0.70866141732283461" top="0.74803149606299213" bottom="0.74803149606299213" header="0.31496062992125984" footer="0.31496062992125984"/>
  <pageSetup scale="72" orientation="landscape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B6"/>
  <sheetViews>
    <sheetView workbookViewId="0">
      <selection sqref="A1:XFD1048576"/>
    </sheetView>
  </sheetViews>
  <sheetFormatPr defaultRowHeight="12.75" x14ac:dyDescent="0.2"/>
  <cols>
    <col min="1" max="1" width="36.42578125" bestFit="1" customWidth="1"/>
    <col min="2" max="2" width="21.140625" bestFit="1" customWidth="1"/>
  </cols>
  <sheetData>
    <row r="1" spans="1:2" x14ac:dyDescent="0.2">
      <c r="A1" t="s">
        <v>1194</v>
      </c>
      <c r="B1" t="s">
        <v>1195</v>
      </c>
    </row>
    <row r="2" spans="1:2" x14ac:dyDescent="0.2">
      <c r="A2" t="s">
        <v>1196</v>
      </c>
      <c r="B2" t="s">
        <v>1197</v>
      </c>
    </row>
    <row r="3" spans="1:2" x14ac:dyDescent="0.2">
      <c r="A3" t="s">
        <v>1198</v>
      </c>
      <c r="B3">
        <v>168</v>
      </c>
    </row>
    <row r="4" spans="1:2" x14ac:dyDescent="0.2">
      <c r="A4" t="s">
        <v>1199</v>
      </c>
      <c r="B4" t="s">
        <v>1197</v>
      </c>
    </row>
    <row r="5" spans="1:2" x14ac:dyDescent="0.2">
      <c r="A5" t="s">
        <v>1202</v>
      </c>
      <c r="B5" t="s">
        <v>1197</v>
      </c>
    </row>
    <row r="6" spans="1:2" x14ac:dyDescent="0.2">
      <c r="A6" t="s">
        <v>1200</v>
      </c>
      <c r="B6" t="s">
        <v>1201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ProdutosOmie</vt:lpstr>
      <vt:lpstr>LISTA</vt:lpstr>
      <vt:lpstr>Planilha1</vt:lpstr>
      <vt:lpstr>INDICADORES</vt:lpstr>
      <vt:lpstr>HISTÓRICO_COMPRAS</vt:lpstr>
      <vt:lpstr>ACURACIDADE</vt:lpstr>
      <vt:lpstr>LOG</vt:lpstr>
      <vt:lpstr>ACURACIDADE!Area_de_impressao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Pneumark 01</dc:creator>
  <cp:lastModifiedBy>Pneumark 01</cp:lastModifiedBy>
  <cp:lastPrinted>2025-06-02T13:04:39Z</cp:lastPrinted>
  <dcterms:created xsi:type="dcterms:W3CDTF">2007-10-14T16:30:29Z</dcterms:created>
  <dcterms:modified xsi:type="dcterms:W3CDTF">2025-07-15T16:10:03Z</dcterms:modified>
</cp:coreProperties>
</file>